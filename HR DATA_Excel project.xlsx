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25d78d905cd89403/Documents/"/>
    </mc:Choice>
  </mc:AlternateContent>
  <xr:revisionPtr revIDLastSave="0" documentId="8_{059D92B6-C6FD-41F2-BDC7-265AAFB898BD}" xr6:coauthVersionLast="47" xr6:coauthVersionMax="47" xr10:uidLastSave="{00000000-0000-0000-0000-000000000000}"/>
  <bookViews>
    <workbookView xWindow="-98" yWindow="-98" windowWidth="19396" windowHeight="10276" firstSheet="5" activeTab="10" xr2:uid="{00000000-000D-0000-FFFF-FFFF00000000}"/>
  </bookViews>
  <sheets>
    <sheet name="KPI" sheetId="13" r:id="rId1"/>
    <sheet name="Rating" sheetId="14" r:id="rId2"/>
    <sheet name="Gender" sheetId="16" r:id="rId3"/>
    <sheet name="Eduncation by Attrition" sheetId="17" r:id="rId4"/>
    <sheet name="Attrition by Job" sheetId="18" r:id="rId5"/>
    <sheet name="Dept wise Attrition" sheetId="20" r:id="rId6"/>
    <sheet name="Attrition by Age group" sheetId="21" r:id="rId7"/>
    <sheet name="Marital  Status" sheetId="22" r:id="rId8"/>
    <sheet name="Data" sheetId="1" r:id="rId9"/>
    <sheet name="Images" sheetId="2" r:id="rId10"/>
    <sheet name="Background 2" sheetId="4" r:id="rId11"/>
    <sheet name="Background 3" sheetId="5" r:id="rId12"/>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Rating">Rating!$A$4</definedName>
    <definedName name="Slicer_Department">#N/A</definedName>
    <definedName name="Slicer_Education_Field">#N/A</definedName>
    <definedName name="Slicer_Education_Field2">#N/A</definedName>
    <definedName name="Slicer_Gender1">#N/A</definedName>
    <definedName name="Slicer_Gender2">#N/A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5" i="22" l="1"/>
  <c r="D6" i="22"/>
  <c r="D4" i="22"/>
  <c r="D5" i="18"/>
  <c r="D6" i="18"/>
  <c r="D7" i="18"/>
  <c r="D8" i="18"/>
  <c r="D9" i="18"/>
  <c r="D10" i="18"/>
  <c r="D11" i="18"/>
  <c r="D12" i="18"/>
  <c r="D4" i="18"/>
  <c r="E5" i="22"/>
  <c r="E7" i="18"/>
  <c r="E8" i="18"/>
  <c r="E6" i="22"/>
  <c r="E6" i="18"/>
  <c r="E12" i="18"/>
  <c r="E4" i="22"/>
  <c r="E5" i="18"/>
  <c r="E9" i="18"/>
  <c r="E10" i="18"/>
  <c r="E11" i="18"/>
  <c r="E4" i="18"/>
  <c r="C8" i="13" l="1"/>
  <c r="B8" i="13"/>
  <c r="A8" i="13"/>
  <c r="E3" i="14"/>
  <c r="B9" i="16"/>
  <c r="B8" i="16"/>
  <c r="C9" i="16" l="1"/>
  <c r="C8" i="16"/>
  <c r="B6" i="14"/>
  <c r="C6" i="14" s="1"/>
  <c r="D8" i="13"/>
  <c r="E8" i="13"/>
  <c r="B7" i="14" l="1"/>
  <c r="C7" i="14" s="1"/>
</calcChain>
</file>

<file path=xl/sharedStrings.xml><?xml version="1.0" encoding="utf-8"?>
<sst xmlns="http://schemas.openxmlformats.org/spreadsheetml/2006/main" count="3993" uniqueCount="398">
  <si>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</si>
  <si>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</si>
  <si>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</si>
  <si>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</si>
  <si>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</si>
  <si>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</si>
  <si>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</si>
  <si>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</si>
  <si>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</si>
  <si>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</si>
  <si>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</si>
  <si>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</si>
  <si>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</si>
  <si>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</si>
  <si>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</si>
  <si>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</si>
  <si>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</si>
  <si>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</si>
  <si>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</si>
  <si>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</si>
  <si>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</si>
  <si>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</si>
  <si>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</si>
  <si>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</si>
  <si>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</si>
  <si>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</si>
  <si>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</si>
  <si>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</si>
  <si>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</si>
  <si>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</si>
  <si>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</si>
  <si>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</si>
  <si>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</si>
  <si>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</si>
  <si>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</si>
  <si>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</si>
  <si>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</si>
  <si>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</si>
  <si>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</si>
  <si>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</si>
  <si>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</si>
  <si>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</si>
  <si>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</si>
  <si>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</si>
  <si>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</si>
  <si>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</si>
  <si>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</si>
  <si>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</si>
  <si>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</si>
  <si>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</si>
  <si>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</si>
  <si>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</si>
  <si>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</si>
  <si>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</si>
  <si>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</si>
  <si>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</si>
  <si>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</si>
  <si>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</si>
  <si>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</si>
  <si>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</si>
  <si>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</si>
  <si>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</si>
  <si>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</si>
  <si>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</si>
  <si>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</si>
  <si>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</si>
  <si>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</si>
  <si>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</si>
  <si>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</si>
  <si>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</si>
  <si>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</si>
  <si>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</si>
  <si>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</si>
  <si>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</si>
  <si>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</si>
  <si>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</si>
  <si>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</si>
  <si>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</si>
  <si>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</si>
  <si>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</si>
  <si>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</si>
  <si>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</si>
  <si>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</si>
  <si>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</si>
  <si>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</si>
  <si>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</si>
  <si>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</si>
  <si>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</si>
  <si>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</si>
  <si>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</si>
  <si>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</si>
  <si>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</si>
  <si>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</si>
  <si>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</si>
  <si>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</si>
  <si>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</si>
  <si>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</si>
  <si>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</si>
  <si>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</si>
  <si>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</si>
  <si>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</si>
  <si>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</si>
  <si>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</si>
  <si>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</si>
  <si>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</si>
  <si>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</si>
  <si>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</si>
  <si>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</si>
  <si>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</si>
  <si>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</si>
  <si>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</si>
  <si>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</si>
  <si>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</si>
  <si>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</si>
  <si>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</si>
  <si>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</si>
  <si>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</si>
  <si>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</si>
  <si>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</si>
  <si>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</si>
  <si>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</si>
  <si>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</si>
  <si>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</si>
  <si>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</si>
  <si>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</si>
  <si>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</si>
  <si>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</si>
  <si>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</si>
  <si>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</si>
  <si>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</si>
  <si>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</si>
  <si>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</si>
  <si>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</si>
  <si>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</si>
  <si>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</si>
  <si>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</si>
  <si>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</si>
  <si>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</si>
  <si>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</si>
  <si>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</si>
  <si>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</si>
  <si>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</si>
  <si>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</si>
  <si>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</si>
  <si>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</si>
  <si>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</si>
  <si>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</si>
  <si>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</si>
  <si>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</si>
  <si>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</si>
  <si>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</si>
  <si>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</si>
  <si>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</si>
  <si>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</si>
  <si>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</si>
  <si>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</si>
  <si>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</si>
  <si>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</si>
  <si>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</si>
  <si>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</si>
  <si>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</si>
  <si>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</si>
  <si>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</si>
  <si>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</si>
  <si>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</si>
  <si>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</si>
  <si>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</si>
  <si>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</si>
  <si>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</si>
  <si>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</si>
  <si>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</si>
  <si>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</si>
  <si>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</si>
  <si>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</si>
  <si>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</si>
  <si>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</si>
  <si>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</si>
  <si>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</si>
  <si>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</si>
  <si>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</si>
  <si>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</si>
  <si>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</si>
  <si>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</si>
  <si>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</si>
  <si>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</si>
  <si>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</si>
  <si>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</si>
  <si>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</si>
  <si>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</si>
  <si>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</si>
  <si>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</si>
  <si>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</si>
  <si>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</si>
  <si>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</si>
  <si>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</si>
  <si>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</si>
  <si>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</si>
  <si>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</si>
  <si>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</si>
  <si>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</si>
  <si>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</si>
  <si>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</si>
  <si>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</si>
  <si>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</si>
  <si>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</si>
  <si>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</si>
  <si>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</si>
  <si>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</si>
  <si>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</si>
  <si>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</si>
  <si>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</si>
  <si>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</si>
  <si>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</si>
  <si>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</si>
  <si>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</si>
  <si>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</si>
  <si>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</si>
  <si>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</si>
  <si>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</si>
  <si>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</si>
  <si>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</si>
  <si>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</si>
  <si>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</si>
  <si>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</si>
  <si>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</si>
  <si>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</si>
  <si>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</si>
  <si>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</si>
  <si>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</si>
  <si>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</si>
  <si>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</si>
  <si>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</si>
  <si>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</si>
  <si>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</si>
  <si>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</si>
  <si>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</si>
  <si>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</si>
  <si>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</si>
  <si>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</si>
  <si>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</si>
  <si>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</si>
  <si>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</si>
  <si>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</si>
  <si>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</si>
  <si>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</si>
  <si>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</si>
  <si>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</si>
  <si>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</si>
  <si>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</si>
  <si>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</si>
  <si>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</si>
  <si>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</si>
  <si>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</si>
  <si>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</si>
  <si>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</si>
  <si>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</si>
  <si>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</si>
  <si>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</si>
  <si>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</si>
  <si>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</si>
  <si>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</si>
  <si>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</si>
  <si>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</si>
  <si>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</si>
  <si>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</si>
  <si>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</si>
  <si>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</si>
  <si>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</si>
  <si>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</si>
  <si>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</si>
  <si>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</si>
  <si>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</si>
  <si>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</si>
  <si>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</si>
  <si>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</si>
  <si>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</si>
  <si>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</si>
  <si>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</si>
  <si>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</si>
  <si>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</si>
  <si>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</si>
  <si>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</si>
  <si>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</si>
  <si>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</si>
  <si>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</si>
  <si>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</si>
  <si>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</si>
  <si>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</si>
  <si>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</si>
  <si>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</si>
  <si>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</si>
  <si>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</si>
  <si>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</si>
  <si>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</si>
  <si>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</si>
  <si>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</si>
  <si>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</si>
  <si>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</si>
  <si>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</si>
  <si>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</si>
  <si>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</si>
  <si>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</si>
  <si>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</si>
  <si>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</si>
  <si>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</si>
  <si>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</si>
  <si>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</si>
  <si>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</si>
  <si>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</si>
  <si>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</si>
  <si>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</si>
  <si>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</si>
  <si>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</si>
  <si>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</si>
  <si>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</si>
  <si>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</si>
  <si>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</si>
  <si>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</si>
  <si>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</si>
  <si>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</si>
  <si>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</si>
  <si>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</si>
  <si>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</si>
  <si>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</si>
  <si>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</si>
  <si>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</si>
  <si>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</si>
  <si>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</si>
  <si>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</si>
  <si>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</si>
  <si>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</si>
  <si>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</si>
  <si>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</si>
  <si>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</si>
  <si>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</si>
  <si>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</si>
  <si>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</si>
  <si>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</si>
  <si>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</si>
  <si>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</si>
  <si>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</si>
  <si>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</si>
  <si>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</si>
  <si>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</si>
  <si>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</si>
  <si>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</si>
  <si>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</si>
  <si>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</si>
  <si>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</si>
  <si>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</si>
  <si>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</si>
  <si>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</si>
  <si>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</si>
  <si>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</si>
  <si>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</si>
  <si>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</si>
  <si>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</si>
  <si>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</si>
  <si>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</si>
  <si>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</si>
  <si>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</si>
  <si>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</si>
  <si>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</si>
  <si>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</si>
  <si>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</si>
  <si>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</si>
  <si>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</si>
  <si>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</si>
  <si>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</si>
  <si>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</si>
  <si>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</si>
  <si>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</si>
  <si>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</si>
  <si>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</si>
  <si>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</si>
  <si>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</si>
  <si>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</si>
  <si>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</si>
  <si>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</si>
  <si>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</si>
  <si>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</si>
  <si>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</si>
  <si>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</si>
  <si>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Sum of CF_attrition count</t>
  </si>
  <si>
    <t>Count of Employee Number</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</si>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</sst>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sz val="12"/>
      <color theme="1"/>
      <name val="Calibri"/>
      <family val="2"/>
      <scheme val="minor"/>
    </font>
    <font>
      <sz val="12"/>
      <color theme="5" tint="-0.499984740745262"/>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s>
  <borders count="13">
    <border>
      <left/>
      <right/>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27">
    <xf numFmtId="0" fontId="0" fillId="0" borderId="0" xfId="0" applyFont="1" applyAlignment="1"/>
    <xf numFmtId="0" fontId="1" fillId="0" borderId="0" xfId="0" applyFont="1"/>
    <xf numFmtId="0" fontId="2" fillId="0" borderId="0" xfId="0" applyFont="1" applyAlignment="1"/>
    <xf numFmtId="10" fontId="0" fillId="0" borderId="0" xfId="1" applyNumberFormat="1" applyFont="1" applyAlignment="1"/>
    <xf numFmtId="1" fontId="0" fillId="0" borderId="0" xfId="0" applyNumberFormat="1" applyFont="1" applyAlignment="1"/>
    <xf numFmtId="0" fontId="0" fillId="3" borderId="0" xfId="0" applyFont="1" applyFill="1" applyAlignment="1"/>
    <xf numFmtId="0" fontId="0" fillId="2" borderId="1" xfId="0" applyFont="1" applyFill="1" applyBorder="1" applyAlignment="1"/>
    <xf numFmtId="2" fontId="0" fillId="0" borderId="0" xfId="0" applyNumberFormat="1" applyFont="1" applyAlignment="1"/>
    <xf numFmtId="2" fontId="0" fillId="0" borderId="2" xfId="0" applyNumberFormat="1" applyFont="1" applyBorder="1" applyAlignment="1"/>
    <xf numFmtId="9" fontId="0" fillId="0" borderId="0" xfId="1" applyFont="1" applyAlignment="1"/>
    <xf numFmtId="0" fontId="3" fillId="3" borderId="0" xfId="0" applyFont="1" applyFill="1" applyAlignment="1"/>
    <xf numFmtId="0" fontId="0" fillId="0" borderId="3" xfId="0" applyFont="1" applyBorder="1" applyAlignment="1">
      <alignment horizontal="left"/>
    </xf>
    <xf numFmtId="0" fontId="0" fillId="0" borderId="4" xfId="0" applyNumberFormat="1" applyFont="1" applyBorder="1" applyAlignment="1"/>
    <xf numFmtId="0" fontId="0" fillId="0" borderId="5" xfId="0" applyFont="1" applyBorder="1" applyAlignment="1">
      <alignment horizontal="left"/>
    </xf>
    <xf numFmtId="0" fontId="0" fillId="0" borderId="6" xfId="0" applyNumberFormat="1" applyFont="1" applyBorder="1" applyAlignment="1"/>
    <xf numFmtId="0" fontId="0" fillId="2" borderId="3" xfId="0" applyFont="1" applyFill="1" applyBorder="1" applyAlignment="1"/>
    <xf numFmtId="0" fontId="0" fillId="2" borderId="4" xfId="0" applyFont="1" applyFill="1" applyBorder="1" applyAlignment="1"/>
    <xf numFmtId="0" fontId="0" fillId="2" borderId="8" xfId="0" applyNumberFormat="1" applyFont="1" applyFill="1" applyBorder="1" applyAlignment="1"/>
    <xf numFmtId="0" fontId="0" fillId="2" borderId="7" xfId="0" applyFont="1" applyFill="1" applyBorder="1" applyAlignment="1">
      <alignment horizontal="left"/>
    </xf>
    <xf numFmtId="10" fontId="0" fillId="0" borderId="4" xfId="0" applyNumberFormat="1" applyFont="1" applyBorder="1" applyAlignment="1"/>
    <xf numFmtId="10" fontId="0" fillId="0" borderId="6" xfId="0" applyNumberFormat="1" applyFont="1" applyBorder="1" applyAlignment="1"/>
    <xf numFmtId="10" fontId="0" fillId="2" borderId="8" xfId="0" applyNumberFormat="1" applyFont="1" applyFill="1" applyBorder="1" applyAlignment="1"/>
    <xf numFmtId="0" fontId="0" fillId="0" borderId="7" xfId="0" applyNumberFormat="1" applyFont="1" applyBorder="1" applyAlignment="1"/>
    <xf numFmtId="0" fontId="0" fillId="0" borderId="11" xfId="0" applyNumberFormat="1" applyFont="1" applyBorder="1" applyAlignment="1"/>
    <xf numFmtId="0" fontId="0" fillId="0" borderId="12" xfId="0" applyNumberFormat="1" applyFont="1" applyBorder="1" applyAlignment="1"/>
    <xf numFmtId="0" fontId="0" fillId="2" borderId="9" xfId="0" applyFont="1" applyFill="1" applyBorder="1" applyAlignment="1"/>
    <xf numFmtId="0" fontId="0" fillId="2" borderId="10" xfId="0" applyFont="1" applyFill="1" applyBorder="1" applyAlignment="1"/>
  </cellXfs>
  <cellStyles count="2">
    <cellStyle name="Normal" xfId="0" builtinId="0"/>
    <cellStyle name="Percent" xfId="1" builtinId="5"/>
  </cellStyles>
  <dxfs count="721">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4"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4" formatCode="0.0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8"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bgColor theme="4" tint="0.59999389629810485"/>
        </patternFill>
      </fill>
    </dxf>
    <dxf>
      <fill>
        <patternFill patternType="solid">
          <bgColor theme="4" tint="0.39997558519241921"/>
        </patternFill>
      </fill>
    </dxf>
    <dxf>
      <fill>
        <patternFill patternType="solid">
          <bgColor theme="4" tint="0.59999389629810485"/>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720"/>
      <tableStyleElement type="firstRowStripe" dxfId="719"/>
      <tableStyleElement type="secondRowStripe" dxfId="718"/>
    </tableStyle>
    <tableStyle name="Slicer " pivot="0" table="0" count="4" xr9:uid="{23865BCF-325C-41C7-9F7C-7E13F723DAB1}">
      <tableStyleElement type="wholeTable" dxfId="680"/>
    </tableStyle>
  </tableStyles>
  <colors>
    <mruColors>
      <color rgb="FF8E0C7B"/>
      <color rgb="FFED2FD2"/>
      <color rgb="FFA914C2"/>
      <color rgb="FF831774"/>
      <color rgb="FFDB2DC2"/>
      <color rgb="FF5E1250"/>
      <color rgb="FFAC2091"/>
      <color rgb="FFB814B0"/>
      <color rgb="FF490E4E"/>
      <color rgb="FF86146B"/>
    </mruColors>
  </colors>
  <extLst>
    <ext xmlns:x14="http://schemas.microsoft.com/office/spreadsheetml/2009/9/main" uri="{46F421CA-312F-682f-3DD2-61675219B42D}">
      <x14:dxfs count="3">
        <dxf>
          <fill>
            <gradientFill>
              <stop position="0">
                <color theme="1" tint="0.25098422193060094"/>
              </stop>
              <stop position="1">
                <color theme="1"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16-408C-9894-71D7CEE02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16-408C-9894-71D7CEE02F91}"/>
              </c:ext>
            </c:extLst>
          </c:dPt>
          <c:val>
            <c:numRef>
              <c:f>Rating!$C$6:$C$7</c:f>
              <c:numCache>
                <c:formatCode>General</c:formatCode>
                <c:ptCount val="2"/>
                <c:pt idx="0">
                  <c:v>0.671875</c:v>
                </c:pt>
                <c:pt idx="1">
                  <c:v>0.328125</c:v>
                </c:pt>
              </c:numCache>
            </c:numRef>
          </c:val>
          <c:extLst>
            <c:ext xmlns:c16="http://schemas.microsoft.com/office/drawing/2014/chart" uri="{C3380CC4-5D6E-409C-BE32-E72D297353CC}">
              <c16:uniqueId val="{00000004-CB16-408C-9894-71D7CEE02F9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325226927957724E-2"/>
          <c:y val="0.35645252683588147"/>
          <c:w val="0.86860388766756114"/>
          <c:h val="0.39336980294757801"/>
        </c:manualLayout>
      </c:layout>
      <c:barChart>
        <c:barDir val="bar"/>
        <c:grouping val="stacked"/>
        <c:varyColors val="0"/>
        <c:ser>
          <c:idx val="0"/>
          <c:order val="0"/>
          <c:spPr>
            <a:solidFill>
              <a:schemeClr val="accent1"/>
            </a:solidFill>
            <a:ln>
              <a:noFill/>
            </a:ln>
            <a:effectLst/>
          </c:spPr>
          <c:invertIfNegative val="0"/>
          <c:val>
            <c:numRef>
              <c:f>Rating!$B$6</c:f>
              <c:numCache>
                <c:formatCode>0.00</c:formatCode>
                <c:ptCount val="1"/>
                <c:pt idx="0">
                  <c:v>2.6875</c:v>
                </c:pt>
              </c:numCache>
            </c:numRef>
          </c:val>
          <c:extLst>
            <c:ext xmlns:c16="http://schemas.microsoft.com/office/drawing/2014/chart" uri="{C3380CC4-5D6E-409C-BE32-E72D297353CC}">
              <c16:uniqueId val="{00000000-0500-4D2B-A0C1-C257DD5BB891}"/>
            </c:ext>
          </c:extLst>
        </c:ser>
        <c:ser>
          <c:idx val="1"/>
          <c:order val="1"/>
          <c:spPr>
            <a:solidFill>
              <a:schemeClr val="accent2"/>
            </a:solidFill>
            <a:ln>
              <a:noFill/>
            </a:ln>
            <a:effectLst/>
          </c:spPr>
          <c:invertIfNegative val="0"/>
          <c:val>
            <c:numRef>
              <c:f>Rating!$B$7</c:f>
              <c:numCache>
                <c:formatCode>0.00</c:formatCode>
                <c:ptCount val="1"/>
                <c:pt idx="0">
                  <c:v>1.3125</c:v>
                </c:pt>
              </c:numCache>
            </c:numRef>
          </c:val>
          <c:extLst>
            <c:ext xmlns:c16="http://schemas.microsoft.com/office/drawing/2014/chart" uri="{C3380CC4-5D6E-409C-BE32-E72D297353CC}">
              <c16:uniqueId val="{00000001-0500-4D2B-A0C1-C257DD5BB891}"/>
            </c:ext>
          </c:extLst>
        </c:ser>
        <c:dLbls>
          <c:showLegendKey val="0"/>
          <c:showVal val="0"/>
          <c:showCatName val="0"/>
          <c:showSerName val="0"/>
          <c:showPercent val="0"/>
          <c:showBubbleSize val="0"/>
        </c:dLbls>
        <c:gapWidth val="10"/>
        <c:overlap val="100"/>
        <c:axId val="242037552"/>
        <c:axId val="242037936"/>
      </c:barChart>
      <c:catAx>
        <c:axId val="242037552"/>
        <c:scaling>
          <c:orientation val="minMax"/>
        </c:scaling>
        <c:delete val="1"/>
        <c:axPos val="l"/>
        <c:majorTickMark val="out"/>
        <c:minorTickMark val="none"/>
        <c:tickLblPos val="nextTo"/>
        <c:crossAx val="242037936"/>
        <c:crosses val="autoZero"/>
        <c:auto val="1"/>
        <c:lblAlgn val="ctr"/>
        <c:lblOffset val="100"/>
        <c:noMultiLvlLbl val="0"/>
      </c:catAx>
      <c:valAx>
        <c:axId val="242037936"/>
        <c:scaling>
          <c:orientation val="minMax"/>
          <c:max val="4"/>
        </c:scaling>
        <c:delete val="1"/>
        <c:axPos val="b"/>
        <c:numFmt formatCode="0.00" sourceLinked="1"/>
        <c:majorTickMark val="out"/>
        <c:minorTickMark val="none"/>
        <c:tickLblPos val="nextTo"/>
        <c:crossAx val="242037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5A-4E57-8C51-17F936F1FC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5A-4E57-8C51-17F936F1FCE1}"/>
              </c:ext>
            </c:extLst>
          </c:dPt>
          <c:val>
            <c:numRef>
              <c:f>Gender!$C$8:$C$9</c:f>
              <c:numCache>
                <c:formatCode>0%</c:formatCode>
                <c:ptCount val="2"/>
                <c:pt idx="0">
                  <c:v>0.38461538461538464</c:v>
                </c:pt>
                <c:pt idx="1">
                  <c:v>0.61538461538461542</c:v>
                </c:pt>
              </c:numCache>
            </c:numRef>
          </c:val>
          <c:extLst>
            <c:ext xmlns:c16="http://schemas.microsoft.com/office/drawing/2014/chart" uri="{C3380CC4-5D6E-409C-BE32-E72D297353CC}">
              <c16:uniqueId val="{00000004-CB5A-4E57-8C51-17F936F1FCE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project.xlsx]Eduncation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'Eduncation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'Eduncation by Attrition'!$A$4:$A$9</c:f>
              <c:strCache>
                <c:ptCount val="5"/>
                <c:pt idx="0">
                  <c:v>Doctoral Degree</c:v>
                </c:pt>
                <c:pt idx="1">
                  <c:v>High School</c:v>
                </c:pt>
                <c:pt idx="2">
                  <c:v>Associates Degree</c:v>
                </c:pt>
                <c:pt idx="3">
                  <c:v>Master's Degree</c:v>
                </c:pt>
                <c:pt idx="4">
                  <c:v>Bachelor's Degree</c:v>
                </c:pt>
              </c:strCache>
            </c:strRef>
          </c:cat>
          <c:val>
            <c:numRef>
              <c:f>'Eduncation by Attrition'!$B$4:$B$9</c:f>
              <c:numCache>
                <c:formatCode>General</c:formatCode>
                <c:ptCount val="5"/>
                <c:pt idx="0">
                  <c:v>0</c:v>
                </c:pt>
                <c:pt idx="1">
                  <c:v>6</c:v>
                </c:pt>
                <c:pt idx="2">
                  <c:v>9</c:v>
                </c:pt>
                <c:pt idx="3">
                  <c:v>13</c:v>
                </c:pt>
                <c:pt idx="4">
                  <c:v>20</c:v>
                </c:pt>
              </c:numCache>
            </c:numRef>
          </c:val>
          <c:extLst>
            <c:ext xmlns:c16="http://schemas.microsoft.com/office/drawing/2014/chart" uri="{C3380CC4-5D6E-409C-BE32-E72D297353CC}">
              <c16:uniqueId val="{00000000-5361-46D3-B5A7-2FF40AAEACBB}"/>
            </c:ext>
          </c:extLst>
        </c:ser>
        <c:dLbls>
          <c:dLblPos val="outEnd"/>
          <c:showLegendKey val="0"/>
          <c:showVal val="1"/>
          <c:showCatName val="0"/>
          <c:showSerName val="0"/>
          <c:showPercent val="0"/>
          <c:showBubbleSize val="0"/>
        </c:dLbls>
        <c:gapWidth val="182"/>
        <c:axId val="283708944"/>
        <c:axId val="242420600"/>
      </c:barChart>
      <c:catAx>
        <c:axId val="283708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420600"/>
        <c:crosses val="autoZero"/>
        <c:auto val="1"/>
        <c:lblAlgn val="ctr"/>
        <c:lblOffset val="100"/>
        <c:noMultiLvlLbl val="0"/>
      </c:catAx>
      <c:valAx>
        <c:axId val="2424206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08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3A-4401-9BD5-D6436AF19A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3A-4401-9BD5-D6436AF19A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3A-4401-9BD5-D6436AF19A68}"/>
              </c:ext>
            </c:extLst>
          </c:dPt>
          <c:cat>
            <c:strRef>
              <c:f>'Dept wise Attrition'!$A$4:$A$7</c:f>
              <c:strCache>
                <c:ptCount val="3"/>
                <c:pt idx="0">
                  <c:v>HR</c:v>
                </c:pt>
                <c:pt idx="1">
                  <c:v>R&amp;D</c:v>
                </c:pt>
                <c:pt idx="2">
                  <c:v>Sales</c:v>
                </c:pt>
              </c:strCache>
            </c:strRef>
          </c:cat>
          <c:val>
            <c:numRef>
              <c:f>'Dept wise Attrition'!$B$4:$B$7</c:f>
              <c:numCache>
                <c:formatCode>0.00%</c:formatCode>
                <c:ptCount val="3"/>
                <c:pt idx="0">
                  <c:v>2.0833333333333332E-2</c:v>
                </c:pt>
                <c:pt idx="1">
                  <c:v>0.66666666666666663</c:v>
                </c:pt>
                <c:pt idx="2">
                  <c:v>0.3125</c:v>
                </c:pt>
              </c:numCache>
            </c:numRef>
          </c:val>
          <c:extLst>
            <c:ext xmlns:c16="http://schemas.microsoft.com/office/drawing/2014/chart" uri="{C3380CC4-5D6E-409C-BE32-E72D297353CC}">
              <c16:uniqueId val="{00000006-AD3A-4401-9BD5-D6436AF19A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23</c:v>
                </c:pt>
                <c:pt idx="1">
                  <c:v>12</c:v>
                </c:pt>
                <c:pt idx="2">
                  <c:v>6</c:v>
                </c:pt>
                <c:pt idx="3">
                  <c:v>5</c:v>
                </c:pt>
                <c:pt idx="4">
                  <c:v>2</c:v>
                </c:pt>
              </c:numCache>
            </c:numRef>
          </c:val>
          <c:extLst>
            <c:ext xmlns:c16="http://schemas.microsoft.com/office/drawing/2014/chart" uri="{C3380CC4-5D6E-409C-BE32-E72D297353CC}">
              <c16:uniqueId val="{00000000-8C4B-4396-AB36-618A5EF93384}"/>
            </c:ext>
          </c:extLst>
        </c:ser>
        <c:dLbls>
          <c:showLegendKey val="0"/>
          <c:showVal val="0"/>
          <c:showCatName val="0"/>
          <c:showSerName val="0"/>
          <c:showPercent val="0"/>
          <c:showBubbleSize val="0"/>
        </c:dLbls>
        <c:gapWidth val="219"/>
        <c:overlap val="-27"/>
        <c:axId val="283825280"/>
        <c:axId val="283825664"/>
      </c:barChart>
      <c:catAx>
        <c:axId val="2838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25664"/>
        <c:crosses val="autoZero"/>
        <c:auto val="1"/>
        <c:lblAlgn val="ctr"/>
        <c:lblOffset val="100"/>
        <c:noMultiLvlLbl val="0"/>
      </c:catAx>
      <c:valAx>
        <c:axId val="28382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25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85162215688679"/>
          <c:y val="8.3838528014948219E-2"/>
          <c:w val="0.50925194851146494"/>
          <c:h val="0.80679158124205208"/>
        </c:manualLayout>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56C8-4C98-B8A3-9DCCA6EE10E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56C8-4C98-B8A3-9DCCA6EE10EC}"/>
              </c:ext>
            </c:extLst>
          </c:dPt>
          <c:val>
            <c:numRef>
              <c:f>Rating!$C$6:$C$7</c:f>
              <c:numCache>
                <c:formatCode>General</c:formatCode>
                <c:ptCount val="2"/>
                <c:pt idx="0">
                  <c:v>0.671875</c:v>
                </c:pt>
                <c:pt idx="1">
                  <c:v>0.328125</c:v>
                </c:pt>
              </c:numCache>
            </c:numRef>
          </c:val>
          <c:extLst>
            <c:ext xmlns:c16="http://schemas.microsoft.com/office/drawing/2014/chart" uri="{C3380CC4-5D6E-409C-BE32-E72D297353CC}">
              <c16:uniqueId val="{00000004-56C8-4C98-B8A3-9DCCA6EE10E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325226927957724E-2"/>
          <c:y val="0.35645252683588147"/>
          <c:w val="0.86860388766756114"/>
          <c:h val="0.39336980294757801"/>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0.00</c:formatCode>
                <c:ptCount val="1"/>
                <c:pt idx="0">
                  <c:v>2.6875</c:v>
                </c:pt>
              </c:numCache>
            </c:numRef>
          </c:val>
          <c:extLst>
            <c:ext xmlns:c16="http://schemas.microsoft.com/office/drawing/2014/chart" uri="{C3380CC4-5D6E-409C-BE32-E72D297353CC}">
              <c16:uniqueId val="{00000000-14D2-4F4E-A93E-2235BF818C7F}"/>
            </c:ext>
          </c:extLst>
        </c:ser>
        <c:ser>
          <c:idx val="1"/>
          <c:order val="1"/>
          <c:spPr>
            <a:solidFill>
              <a:schemeClr val="bg1"/>
            </a:solidFill>
            <a:ln>
              <a:noFill/>
            </a:ln>
            <a:effectLst/>
          </c:spPr>
          <c:invertIfNegative val="0"/>
          <c:val>
            <c:numRef>
              <c:f>Rating!$B$7</c:f>
              <c:numCache>
                <c:formatCode>0.00</c:formatCode>
                <c:ptCount val="1"/>
                <c:pt idx="0">
                  <c:v>1.3125</c:v>
                </c:pt>
              </c:numCache>
            </c:numRef>
          </c:val>
          <c:extLst>
            <c:ext xmlns:c16="http://schemas.microsoft.com/office/drawing/2014/chart" uri="{C3380CC4-5D6E-409C-BE32-E72D297353CC}">
              <c16:uniqueId val="{00000001-14D2-4F4E-A93E-2235BF818C7F}"/>
            </c:ext>
          </c:extLst>
        </c:ser>
        <c:dLbls>
          <c:showLegendKey val="0"/>
          <c:showVal val="0"/>
          <c:showCatName val="0"/>
          <c:showSerName val="0"/>
          <c:showPercent val="0"/>
          <c:showBubbleSize val="0"/>
        </c:dLbls>
        <c:gapWidth val="0"/>
        <c:overlap val="100"/>
        <c:axId val="130263912"/>
        <c:axId val="130261952"/>
      </c:barChart>
      <c:catAx>
        <c:axId val="130263912"/>
        <c:scaling>
          <c:orientation val="minMax"/>
        </c:scaling>
        <c:delete val="1"/>
        <c:axPos val="l"/>
        <c:majorTickMark val="out"/>
        <c:minorTickMark val="none"/>
        <c:tickLblPos val="nextTo"/>
        <c:crossAx val="130261952"/>
        <c:crosses val="autoZero"/>
        <c:auto val="1"/>
        <c:lblAlgn val="ctr"/>
        <c:lblOffset val="100"/>
        <c:noMultiLvlLbl val="0"/>
      </c:catAx>
      <c:valAx>
        <c:axId val="130261952"/>
        <c:scaling>
          <c:orientation val="minMax"/>
          <c:max val="4"/>
        </c:scaling>
        <c:delete val="1"/>
        <c:axPos val="b"/>
        <c:numFmt formatCode="0.00" sourceLinked="1"/>
        <c:majorTickMark val="out"/>
        <c:minorTickMark val="none"/>
        <c:tickLblPos val="nextTo"/>
        <c:crossAx val="1302639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project.xlsx]Eduncation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6">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73971979813699"/>
          <c:y val="5.740377163735938E-2"/>
          <c:w val="0.69393484055539423"/>
          <c:h val="0.82153549541879278"/>
        </c:manualLayout>
      </c:layout>
      <c:barChart>
        <c:barDir val="bar"/>
        <c:grouping val="clustered"/>
        <c:varyColors val="0"/>
        <c:ser>
          <c:idx val="0"/>
          <c:order val="0"/>
          <c:tx>
            <c:strRef>
              <c:f>'Eduncation by Attrition'!$B$3</c:f>
              <c:strCache>
                <c:ptCount val="1"/>
                <c:pt idx="0">
                  <c:v>Total</c:v>
                </c:pt>
              </c:strCache>
            </c:strRef>
          </c:tx>
          <c:spPr>
            <a:gradFill>
              <a:gsLst>
                <a:gs pos="0">
                  <a:schemeClr val="accent6">
                    <a:lumMod val="75000"/>
                  </a:schemeClr>
                </a:gs>
                <a:gs pos="100000">
                  <a:schemeClr val="accent6">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'Eduncation by Attrition'!$A$4:$A$9</c:f>
              <c:strCache>
                <c:ptCount val="5"/>
                <c:pt idx="0">
                  <c:v>Doctoral Degree</c:v>
                </c:pt>
                <c:pt idx="1">
                  <c:v>High School</c:v>
                </c:pt>
                <c:pt idx="2">
                  <c:v>Associates Degree</c:v>
                </c:pt>
                <c:pt idx="3">
                  <c:v>Master's Degree</c:v>
                </c:pt>
                <c:pt idx="4">
                  <c:v>Bachelor's Degree</c:v>
                </c:pt>
              </c:strCache>
            </c:strRef>
          </c:cat>
          <c:val>
            <c:numRef>
              <c:f>'Eduncation by Attrition'!$B$4:$B$9</c:f>
              <c:numCache>
                <c:formatCode>General</c:formatCode>
                <c:ptCount val="5"/>
                <c:pt idx="0">
                  <c:v>0</c:v>
                </c:pt>
                <c:pt idx="1">
                  <c:v>6</c:v>
                </c:pt>
                <c:pt idx="2">
                  <c:v>9</c:v>
                </c:pt>
                <c:pt idx="3">
                  <c:v>13</c:v>
                </c:pt>
                <c:pt idx="4">
                  <c:v>20</c:v>
                </c:pt>
              </c:numCache>
            </c:numRef>
          </c:val>
          <c:extLst>
            <c:ext xmlns:c16="http://schemas.microsoft.com/office/drawing/2014/chart" uri="{C3380CC4-5D6E-409C-BE32-E72D297353CC}">
              <c16:uniqueId val="{00000000-0B3C-4595-87B8-8FB018B5E72F}"/>
            </c:ext>
          </c:extLst>
        </c:ser>
        <c:dLbls>
          <c:dLblPos val="outEnd"/>
          <c:showLegendKey val="0"/>
          <c:showVal val="1"/>
          <c:showCatName val="0"/>
          <c:showSerName val="0"/>
          <c:showPercent val="0"/>
          <c:showBubbleSize val="0"/>
        </c:dLbls>
        <c:gapWidth val="75"/>
        <c:axId val="284424656"/>
        <c:axId val="284426616"/>
      </c:barChart>
      <c:catAx>
        <c:axId val="284424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4426616"/>
        <c:crosses val="autoZero"/>
        <c:auto val="1"/>
        <c:lblAlgn val="ctr"/>
        <c:lblOffset val="100"/>
        <c:noMultiLvlLbl val="0"/>
      </c:catAx>
      <c:valAx>
        <c:axId val="2844266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4246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project.xlsx]Dept wise Attrition!Dept wise Attrition</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2">
                  <a:lumMod val="75000"/>
                </a:schemeClr>
              </a:gs>
            </a:gsLst>
            <a:lin ang="5400000" scaled="1"/>
          </a:gradFill>
          <a:ln w="19050">
            <a:solidFill>
              <a:schemeClr val="lt1"/>
            </a:solidFill>
          </a:ln>
          <a:effectLst/>
        </c:spPr>
      </c:pivotFmt>
      <c:pivotFmt>
        <c:idx val="7"/>
        <c:spPr>
          <a:gradFill>
            <a:gsLst>
              <a:gs pos="92900">
                <a:srgbClr val="365B9C"/>
              </a:gs>
              <a:gs pos="0">
                <a:schemeClr val="accent1">
                  <a:lumMod val="60000"/>
                  <a:lumOff val="40000"/>
                </a:schemeClr>
              </a:gs>
              <a:gs pos="100000">
                <a:schemeClr val="accent1">
                  <a:lumMod val="75000"/>
                </a:schemeClr>
              </a:gs>
            </a:gsLst>
            <a:lin ang="5400000" scaled="1"/>
          </a:gradFill>
          <a:ln w="19050">
            <a:solidFill>
              <a:schemeClr val="lt1"/>
            </a:solidFill>
          </a:ln>
          <a:effectLst/>
        </c:spPr>
      </c:pivotFmt>
      <c:pivotFmt>
        <c:idx val="8"/>
        <c:spPr>
          <a:gradFill>
            <a:gsLst>
              <a:gs pos="0">
                <a:schemeClr val="accent3">
                  <a:lumMod val="50000"/>
                </a:schemeClr>
              </a:gs>
              <a:gs pos="100000">
                <a:schemeClr val="bg1">
                  <a:lumMod val="50000"/>
                </a:schemeClr>
              </a:gs>
            </a:gsLst>
            <a:lin ang="5400000" scaled="1"/>
          </a:gra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2">
                      <a:lumMod val="75000"/>
                    </a:schemeClr>
                  </a:gs>
                  <a:gs pos="100000">
                    <a:schemeClr val="accent2">
                      <a:lumMod val="75000"/>
                    </a:schemeClr>
                  </a:gs>
                </a:gsLst>
                <a:lin ang="5400000" scaled="1"/>
              </a:gradFill>
              <a:ln w="19050">
                <a:solidFill>
                  <a:schemeClr val="lt1"/>
                </a:solidFill>
              </a:ln>
              <a:effectLst/>
            </c:spPr>
            <c:extLst>
              <c:ext xmlns:c16="http://schemas.microsoft.com/office/drawing/2014/chart" uri="{C3380CC4-5D6E-409C-BE32-E72D297353CC}">
                <c16:uniqueId val="{00000001-8CA9-45E0-8269-5B3DFFC9C759}"/>
              </c:ext>
            </c:extLst>
          </c:dPt>
          <c:dPt>
            <c:idx val="1"/>
            <c:bubble3D val="0"/>
            <c:spPr>
              <a:gradFill>
                <a:gsLst>
                  <a:gs pos="92900">
                    <a:srgbClr val="365B9C"/>
                  </a:gs>
                  <a:gs pos="0">
                    <a:schemeClr val="accent1">
                      <a:lumMod val="60000"/>
                      <a:lumOff val="40000"/>
                    </a:schemeClr>
                  </a:gs>
                  <a:gs pos="100000">
                    <a:schemeClr val="accent1">
                      <a:lumMod val="75000"/>
                    </a:schemeClr>
                  </a:gs>
                </a:gsLst>
                <a:lin ang="5400000" scaled="1"/>
              </a:gradFill>
              <a:ln w="19050">
                <a:solidFill>
                  <a:schemeClr val="lt1"/>
                </a:solidFill>
              </a:ln>
              <a:effectLst/>
            </c:spPr>
            <c:extLst>
              <c:ext xmlns:c16="http://schemas.microsoft.com/office/drawing/2014/chart" uri="{C3380CC4-5D6E-409C-BE32-E72D297353CC}">
                <c16:uniqueId val="{00000003-8CA9-45E0-8269-5B3DFFC9C759}"/>
              </c:ext>
            </c:extLst>
          </c:dPt>
          <c:dPt>
            <c:idx val="2"/>
            <c:bubble3D val="0"/>
            <c:spPr>
              <a:gradFill>
                <a:gsLst>
                  <a:gs pos="0">
                    <a:schemeClr val="accent3">
                      <a:lumMod val="50000"/>
                    </a:schemeClr>
                  </a:gs>
                  <a:gs pos="100000">
                    <a:schemeClr val="bg1">
                      <a:lumMod val="50000"/>
                    </a:schemeClr>
                  </a:gs>
                </a:gsLst>
                <a:lin ang="5400000" scaled="1"/>
              </a:gradFill>
              <a:ln w="19050">
                <a:solidFill>
                  <a:schemeClr val="lt1"/>
                </a:solidFill>
              </a:ln>
              <a:effectLst/>
            </c:spPr>
            <c:extLst>
              <c:ext xmlns:c16="http://schemas.microsoft.com/office/drawing/2014/chart" uri="{C3380CC4-5D6E-409C-BE32-E72D297353CC}">
                <c16:uniqueId val="{00000005-8CA9-45E0-8269-5B3DFFC9C75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2.0833333333333332E-2</c:v>
                </c:pt>
                <c:pt idx="1">
                  <c:v>0.66666666666666663</c:v>
                </c:pt>
                <c:pt idx="2">
                  <c:v>0.3125</c:v>
                </c:pt>
              </c:numCache>
            </c:numRef>
          </c:val>
          <c:extLst>
            <c:ext xmlns:c16="http://schemas.microsoft.com/office/drawing/2014/chart" uri="{C3380CC4-5D6E-409C-BE32-E72D297353CC}">
              <c16:uniqueId val="{00000006-8CA9-45E0-8269-5B3DFFC9C7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project.xlsx]Attrition by Age group!Attrition by Age group</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10885240865837E-2"/>
          <c:y val="6.4436158246774483E-2"/>
          <c:w val="0.90750269575612519"/>
          <c:h val="0.83049192381936643"/>
        </c:manualLayout>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23</c:v>
                </c:pt>
                <c:pt idx="1">
                  <c:v>12</c:v>
                </c:pt>
                <c:pt idx="2">
                  <c:v>6</c:v>
                </c:pt>
                <c:pt idx="3">
                  <c:v>5</c:v>
                </c:pt>
                <c:pt idx="4">
                  <c:v>2</c:v>
                </c:pt>
              </c:numCache>
            </c:numRef>
          </c:val>
          <c:extLst>
            <c:ext xmlns:c16="http://schemas.microsoft.com/office/drawing/2014/chart" uri="{C3380CC4-5D6E-409C-BE32-E72D297353CC}">
              <c16:uniqueId val="{00000000-7E9D-47D4-BD5D-7027699A5994}"/>
            </c:ext>
          </c:extLst>
        </c:ser>
        <c:dLbls>
          <c:dLblPos val="outEnd"/>
          <c:showLegendKey val="0"/>
          <c:showVal val="1"/>
          <c:showCatName val="0"/>
          <c:showSerName val="0"/>
          <c:showPercent val="0"/>
          <c:showBubbleSize val="0"/>
        </c:dLbls>
        <c:gapWidth val="219"/>
        <c:overlap val="-27"/>
        <c:axId val="284420344"/>
        <c:axId val="284420736"/>
      </c:barChart>
      <c:catAx>
        <c:axId val="284420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4420736"/>
        <c:crosses val="autoZero"/>
        <c:auto val="1"/>
        <c:lblAlgn val="ctr"/>
        <c:lblOffset val="100"/>
        <c:noMultiLvlLbl val="0"/>
      </c:catAx>
      <c:valAx>
        <c:axId val="284420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4420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011099446952409"/>
          <c:y val="0"/>
          <c:w val="0.51079928849787948"/>
          <c:h val="0.89025439807304185"/>
        </c:manualLayout>
      </c:layout>
      <c:doughnutChart>
        <c:varyColors val="1"/>
        <c:ser>
          <c:idx val="0"/>
          <c:order val="0"/>
          <c:spPr>
            <a:solidFill>
              <a:srgbClr val="DB2DC2"/>
            </a:solidFill>
            <a:ln>
              <a:noFill/>
            </a:ln>
          </c:spPr>
          <c:explosion val="2"/>
          <c:dPt>
            <c:idx val="0"/>
            <c:bubble3D val="0"/>
            <c:spPr>
              <a:solidFill>
                <a:srgbClr val="8E0C7B"/>
              </a:solidFill>
              <a:ln w="19050">
                <a:noFill/>
              </a:ln>
              <a:effectLst/>
            </c:spPr>
            <c:extLst>
              <c:ext xmlns:c16="http://schemas.microsoft.com/office/drawing/2014/chart" uri="{C3380CC4-5D6E-409C-BE32-E72D297353CC}">
                <c16:uniqueId val="{00000001-875F-4765-92CA-E62200AAB58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75F-4765-92CA-E62200AAB58D}"/>
              </c:ext>
            </c:extLst>
          </c:dPt>
          <c:val>
            <c:numRef>
              <c:f>Gender!$C$8:$C$9</c:f>
              <c:numCache>
                <c:formatCode>0%</c:formatCode>
                <c:ptCount val="2"/>
                <c:pt idx="0">
                  <c:v>0.38461538461538464</c:v>
                </c:pt>
                <c:pt idx="1">
                  <c:v>0.61538461538461542</c:v>
                </c:pt>
              </c:numCache>
            </c:numRef>
          </c:val>
          <c:extLst>
            <c:ext xmlns:c16="http://schemas.microsoft.com/office/drawing/2014/chart" uri="{C3380CC4-5D6E-409C-BE32-E72D297353CC}">
              <c16:uniqueId val="{00000004-875F-4765-92CA-E62200AAB58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69136263414686"/>
          <c:y val="7.7789112466385466E-2"/>
          <c:w val="0.75947762501987026"/>
          <c:h val="0.86562848862467745"/>
        </c:manualLayout>
      </c:layout>
      <c:doughnutChart>
        <c:varyColors val="1"/>
        <c:ser>
          <c:idx val="0"/>
          <c:order val="0"/>
          <c:spPr>
            <a:solidFill>
              <a:schemeClr val="bg1">
                <a:lumMod val="85000"/>
              </a:schemeClr>
            </a:solidFill>
            <a:ln>
              <a:noFill/>
            </a:ln>
          </c:spPr>
          <c:explosion val="2"/>
          <c:dPt>
            <c:idx val="0"/>
            <c:bubble3D val="0"/>
            <c:spPr>
              <a:solidFill>
                <a:schemeClr val="bg1">
                  <a:lumMod val="85000"/>
                </a:schemeClr>
              </a:solidFill>
              <a:ln w="19050">
                <a:noFill/>
              </a:ln>
              <a:effectLst/>
            </c:spPr>
            <c:extLst>
              <c:ext xmlns:c16="http://schemas.microsoft.com/office/drawing/2014/chart" uri="{C3380CC4-5D6E-409C-BE32-E72D297353CC}">
                <c16:uniqueId val="{00000001-CE79-44FE-98B3-5EA836C5FC6D}"/>
              </c:ext>
            </c:extLst>
          </c:dPt>
          <c:dPt>
            <c:idx val="1"/>
            <c:bubble3D val="0"/>
            <c:spPr>
              <a:gradFill>
                <a:gsLst>
                  <a:gs pos="0">
                    <a:schemeClr val="accent1">
                      <a:lumMod val="50000"/>
                    </a:schemeClr>
                  </a:gs>
                  <a:gs pos="100000">
                    <a:schemeClr val="accent5">
                      <a:lumMod val="75000"/>
                    </a:schemeClr>
                  </a:gs>
                </a:gsLst>
                <a:lin ang="5400000" scaled="1"/>
              </a:gradFill>
              <a:ln w="19050">
                <a:noFill/>
              </a:ln>
              <a:effectLst/>
            </c:spPr>
            <c:extLst>
              <c:ext xmlns:c16="http://schemas.microsoft.com/office/drawing/2014/chart" uri="{C3380CC4-5D6E-409C-BE32-E72D297353CC}">
                <c16:uniqueId val="{00000003-CE79-44FE-98B3-5EA836C5FC6D}"/>
              </c:ext>
            </c:extLst>
          </c:dPt>
          <c:val>
            <c:numRef>
              <c:f>Gender!$C$8:$C$9</c:f>
              <c:numCache>
                <c:formatCode>0%</c:formatCode>
                <c:ptCount val="2"/>
                <c:pt idx="0">
                  <c:v>0.38461538461538464</c:v>
                </c:pt>
                <c:pt idx="1">
                  <c:v>0.61538461538461542</c:v>
                </c:pt>
              </c:numCache>
            </c:numRef>
          </c:val>
          <c:extLst>
            <c:ext xmlns:c16="http://schemas.microsoft.com/office/drawing/2014/chart" uri="{C3380CC4-5D6E-409C-BE32-E72D297353CC}">
              <c16:uniqueId val="{00000004-CE79-44FE-98B3-5EA836C5FC6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A66083C-C2D3-4EE2-A2DF-8917EBC79472}">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CB8C1ED8-A9A8-43AD-A721-CA829D179364}">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CB8C1ED8-A9A8-43AD-A721-CA829D179364}">
          <cx:tx>
            <cx:txData>
              <cx:f>_xlchart.v2.8</cx:f>
              <cx:v>Attrition</cx:v>
            </cx:txData>
          </cx:tx>
          <cx:spPr>
            <a:gradFill>
              <a:gsLst>
                <a:gs pos="0">
                  <a:schemeClr val="accent6">
                    <a:lumMod val="75000"/>
                  </a:schemeClr>
                </a:gs>
                <a:gs pos="100000">
                  <a:schemeClr val="accent6">
                    <a:lumMod val="50000"/>
                  </a:schemeClr>
                </a:gs>
              </a:gsLst>
              <a:lin ang="5400000" scaled="1"/>
            </a:gradFill>
          </cx:spPr>
          <cx:dataLabels>
            <cx:visibility seriesName="0" categoryName="0" value="1"/>
          </cx:dataLabels>
          <cx:dataId val="0"/>
        </cx:series>
      </cx:plotAreaRegion>
      <cx:axis id="0">
        <cx:catScaling gapWidth="0.0599999987"/>
        <cx:tickLabels/>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CA66083C-C2D3-4EE2-A2DF-8917EBC79472}">
          <cx:dataPt idx="2">
            <cx:spPr>
              <a:solidFill>
                <a:srgbClr val="4472C4"/>
              </a:solidFill>
            </cx:spPr>
          </cx:dataPt>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3.xml"/><Relationship Id="rId18" Type="http://schemas.openxmlformats.org/officeDocument/2006/relationships/image" Target="../media/image9.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chart" Target="../charts/chart13.xml"/><Relationship Id="rId20"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9.xml"/><Relationship Id="rId19"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chart" Target="../charts/chart8.xml"/><Relationship Id="rId1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0</xdr:row>
      <xdr:rowOff>100013</xdr:rowOff>
    </xdr:from>
    <xdr:to>
      <xdr:col>8</xdr:col>
      <xdr:colOff>257176</xdr:colOff>
      <xdr:row>10</xdr:row>
      <xdr:rowOff>95250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24675" y="100013"/>
              <a:ext cx="1876426" cy="19954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309563</xdr:colOff>
      <xdr:row>3</xdr:row>
      <xdr:rowOff>104777</xdr:rowOff>
    </xdr:from>
    <xdr:to>
      <xdr:col>5</xdr:col>
      <xdr:colOff>223838</xdr:colOff>
      <xdr:row>7</xdr:row>
      <xdr:rowOff>90488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138113</xdr:colOff>
      <xdr:row>0</xdr:row>
      <xdr:rowOff>0</xdr:rowOff>
    </xdr:from>
    <xdr:to>
      <xdr:col>8</xdr:col>
      <xdr:colOff>395288</xdr:colOff>
      <xdr:row>5</xdr:row>
      <xdr:rowOff>90488</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00663" y="0"/>
              <a:ext cx="1628775" cy="1090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1385888</xdr:colOff>
      <xdr:row>11</xdr:row>
      <xdr:rowOff>38100</xdr:rowOff>
    </xdr:from>
    <xdr:to>
      <xdr:col>5</xdr:col>
      <xdr:colOff>471488</xdr:colOff>
      <xdr:row>15</xdr:row>
      <xdr:rowOff>66675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390524</xdr:colOff>
      <xdr:row>6</xdr:row>
      <xdr:rowOff>47625</xdr:rowOff>
    </xdr:from>
    <xdr:to>
      <xdr:col>11</xdr:col>
      <xdr:colOff>333375</xdr:colOff>
      <xdr:row>17</xdr:row>
      <xdr:rowOff>71437</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924674" y="1247775"/>
              <a:ext cx="2000251" cy="2224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371474</xdr:colOff>
      <xdr:row>3</xdr:row>
      <xdr:rowOff>14287</xdr:rowOff>
    </xdr:from>
    <xdr:to>
      <xdr:col>11</xdr:col>
      <xdr:colOff>266701</xdr:colOff>
      <xdr:row>12</xdr:row>
      <xdr:rowOff>180975</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048499" y="614362"/>
              <a:ext cx="195262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214313</xdr:colOff>
      <xdr:row>3</xdr:row>
      <xdr:rowOff>28575</xdr:rowOff>
    </xdr:from>
    <xdr:to>
      <xdr:col>7</xdr:col>
      <xdr:colOff>671513</xdr:colOff>
      <xdr:row>16</xdr:row>
      <xdr:rowOff>95250</xdr:rowOff>
    </xdr:to>
    <mc:AlternateContent xmlns:mc="http://schemas.openxmlformats.org/markup-compatibility/2006" xmlns:a14="http://schemas.microsoft.com/office/drawing/2010/main">
      <mc:Choice Requires="a14">
        <xdr:graphicFrame macro="">
          <xdr:nvGraphicFramePr>
            <xdr:cNvPr id="3" name="Education Field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833938" y="628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771525</xdr:colOff>
      <xdr:row>10</xdr:row>
      <xdr:rowOff>119062</xdr:rowOff>
    </xdr:from>
    <xdr:to>
      <xdr:col>4</xdr:col>
      <xdr:colOff>1</xdr:colOff>
      <xdr:row>19</xdr:row>
      <xdr:rowOff>33338</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314325</xdr:colOff>
      <xdr:row>5</xdr:row>
      <xdr:rowOff>95250</xdr:rowOff>
    </xdr:from>
    <xdr:to>
      <xdr:col>9</xdr:col>
      <xdr:colOff>223838</xdr:colOff>
      <xdr:row>17</xdr:row>
      <xdr:rowOff>128588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6</xdr:row>
      <xdr:rowOff>0</xdr:rowOff>
    </xdr:from>
    <xdr:to>
      <xdr:col>9</xdr:col>
      <xdr:colOff>304800</xdr:colOff>
      <xdr:row>7</xdr:row>
      <xdr:rowOff>104775</xdr:rowOff>
    </xdr:to>
    <xdr:sp macro="" textlink="">
      <xdr:nvSpPr>
        <xdr:cNvPr id="12289" name="AutoShape 1" descr="data:image/png;base64,iVBORw0KGgoAAAANSUhEUgAAAeIAAAEiCAYAAAAlAdEXAAAQAElEQVR4Aeyda8x1aVnf10iFqoEhtpyaqlAIiDqg1JpaSdVYlaYtTTRt2hFNm5DYGjUxfqjEBMYmDdqUeKgfSkJSg/i2XyApaVLQGjW1tjEeOkxxGAJltGk4GStM0QDi9Pk98/5frvd+1t57rb3X2nvtvX5k/u91vO9137/1vPtiz/FzOv8nAQlIQAISkMDJCFwP4g9c/e+RRx55XMnAnwF/BvwZ8GfAn4Hj/Qxcjd8PXA/iT33qU8994Qtf2F28vKPv2J8Bfwb8GfBnYEE/A8zf60F8su/jPlgCEpCABCSwcgIO4sv9AfBmEpCABCRwBgQcxGfwkjyiBCQgAQlcLgEH8eW+23XdzNtKQAISOFMCDuIzfXEeWwISkIAELoOAg/gy3qO3WBcBbysBCVwQAQfxBb1MryIBCUhAAudHwEF8fu/ME0tgXQS8rQQunICD+MJfsNeTgAQkIIFlE3AQL/v9eDoJSGBdBLztCgk4iFf40r3yvAQeeOCB7oErzfuUaXfnvGjXrvSgXX3WJSCB4QQcxMNZ2SmBOwQYRq3uFBfktGds4wUd1aOskYB3vibgIL7G4C8SGEYgg4zu+NWSP6by7E3PTB2bHvyozSXGtj3klAQkMD0BB/H0TN1xBQQYUu01+3Jtj7EEJLBaAhsv7iDeiMaCBO4mkEEbe3e1P6I36utIrdralzy56ifGorZGboza9cRZj48S91nqVX095iQggX4CDuJ+LmYlcDCBdjAR100TYyPq+NgqclHyxNWvcfL72roXPtq0V2pYRF8svpKABLYTuMhBvP3KViVwHAJ1GMWP5QT4CH+Xhvbt2mfqes4VO/X+7ieBNRBwEK/hLXtHCUhAAhJYLAEH8WJfzdCD2XfOBPgmWXWud7mEO5wre899/gQcxOf/Dr3BmRJgeHF0bER8jsr5qz3He3hmCZyCgIP4FNR95t4ETrmQIcPzY/GVBCQggUMJOIgPJej6VRLoG8Z9uTFwDl0/5llT9ebMsdm3jZPXSkACNwk4iG8yMSOBjQQYMIgGbCvyQ8VaerER8We122MdXViEP5WyHxZt2jc1bNWmfvMSkMDdBBzEd/MwksAgAnXgxM/CNt6WTy+WPizCR/gIf5OoR5t6yG/r2VRLHrttD+pV9CoJSGAYAQfxME52SUACMxNwewmslYCDeK1v3ntLQAISkMAiCDiIF/EaPIQEJLAuAt5WAp8l4CD+LAs9CUhAAhKQwNEJOIiPjtwHSkACElgXAW+7nYCDeDsfqxKQgAQkIIFZCTiIZ8Xr5hKQgAQksC4C42/rIB7PzBUSkIAEJCCByQg4iCdD6UYSkIAEJCCB8QTOeRCPv60rJCABCUhAAgsj4CBe2AvxOBKQgAQksC4CDuJzed+eUwISkIAELpKAg/giX6uXkoAEJCCBcyHgID6XN7Wuc3pbCUhAAqsh4CBezav2ohKQgAQksEQCDuIlvhXPtC4C3lYCElg1AQfxql+/l5eABCQggVMTcBCf+g34fAmsi4C3lYAEGgIO4gaIoQQkIAEJSOCYBBzEx6TtsyQggXUR8LYSGEDAQTwAki0SkIAEJCCBuQg4iOciO+O+999//43d+3I3mnYkdu2xq75j+0nKnKFqkk3PdBM4zH30vmf05eY+x679OVPVrn7rsxBw0z0JOIj3BHfosne9/2Pdz/78/+4VtUP3n2I9H2xT7DP1Hrdu3eqipZ5x6J3HnL/thcGQ5/zJo7/Z/fEvvbFX1IbscQ498IhaVudwfs+4XgIO4hO9+wff//Huze/8vV5RO/RYfBBFda/kYmut+tSJsQg/IkaJY8lF5OLHkouSw27LpTbUsl9U1yQXu6mWfPqwycWSi5LDJocljhJj0bY89apNvemhjo+N2vjTH/iN3iHMcKaWdfvY9lk1jo9F7I9F+BFxVfJY8rHxiceKtVG7NnlsrRFHbX5TnH5sevCjbbkhtfRoF0BgwiM4iCeEecyt8hs7tj6bXL4ZYIlTJ66qtfRg6YmNT0w/McInh/DJReTix9JDPkqemFpiLDH5MWINayPiuj557KYa/dToiYjJI/zkseRQmycmHxHTj/DJ48e2PjHa1EuNtdv01re+dVt5cI0zVA1eeNXIOs6KWv+qfP0HtSr6rgu3fyFOHf92erBhTdZjibMYn1y0KU9farts3Yt1ibGsbXPE5BE+fRE5dfkEHMRn+o7zGzW2vQa/oaMxtba3jXlem9sW5wzYbX3U6ImINyk92PY85KJN64fkswe27e/L0UM+Iq5qz1lrrZ89sG2tL2bv9GKJ+/r2zbFf1Zh9WDekn3NHbf8+e7Rrsje23b8v1/ZMHfPMqN2bfJszvmwCZzCIL/sFzHU7Poiq8hx+k/flU5/Sjn1WPRf+prNQQ3118lV9PUNydQ/8rMFH3A0ljyVfRW6s2PPQPcY+89T9U9053Pruk1psehJzBpT83DbPjc3zEnMWlLz2sgk4iC/7/V707fjQOtWHFc9eElzOAwvsqc7F80/17PpcGIw9C2vqHkP9sc8Zuu++5xm6v33LIuAgXtb76KY4Dr+J+YCoyr5tLfk+W3v76jVXe3kutb4c+T61vdmjr3dTbtce7BnRu88+WY+te+CTq9q0f83XdeRrzF7kqsihmtvkf/u3f/um0mT5el78fTZmHXeK9tlj25p2f56TfvyIvuTxk8cS99VqPvVqqbM+otbmqJFH+BF95NTlE3AQn+gdv/T5T+u+61u/uFfUth2r7zdomyOuqvvVPH5q1a+55GNrLT6WekSMEseSQ8TYKnJVtRafenxsX0wuoidKDpscto2TIx+RQ4mxxFXkqlIjFx/bF9ccfhVrUJsjJh+1cfKf+7yv7j7vG7+7V9TS12f79mxzxIj1sa3fxrUvNXIROUSMjdp4U77tI66q65JPLjZ5bHKx5BBxbOsTI+oRMUocSw4lxhKrdRBwEJ/oPb/k+fd23/ktX9Qraic61pEf6+OOQeDPPPcv9w5hhjO1Y5zBZ0hAApsJOIg3s7FyQQT8hnFBL9OrSODCCDiIL+yFep3lEvBkEpCABPoIOIj7qJiTgAQkIAEJHImAg/hIoH2MBNZFwNtKQAJDCTiIh5KyTwISkIAEJDADAQfxDFDdUgISWBcBbyuBQwg4iA+h51oJSEACEpDAgQQcxAcCdLkEJCCBdRHwtlMTcBBPTdT9JCABCUhAAiMIOIhHwLJVAhKQgATWReAYt3UQH4Oyz5CABCQgAQlsIOAg3gDGtAQkIAEJSOAYBJYziI9xW58hAQlIQAISWBgBB/HCXojHkYAEJCCBdRFwEJ/mfR/01Pvvv3/U+rH9ozafuZmzt9rnkewx17p9997nPMdew91Q+1xyqM0bS0AC4wk4iMczm2TFRz7yke6hhx7qFbVJHnLETeb6UOY/X4i4ChbhH0tDnjek51jn7X3OH/5K1/3uj/SLWu8ikxKQwLEIOIiPRbp5zoc//OHeIcxwpta07wwZhFXtgn1q7Zoa4+cZ8bGo5onvb77BJxebfiw57BDRG7X9yWNrjRi1OWLyCD9qY/LkosTYKLXY5LHkYuMTz6qP/XLXPfpAv6jteDj/R6OeFZ9cXUauqq0Rp44fJRebfGzysX355LDpwxIrCZwDAQfxObylAWfkg7Gq/SDaVKNvU43Hplb95FibfCw1fGr4ETH5KPnEYy37ZQ8scfbAJxf15elJHkucfnxyfaKWPmxfD/kq1tQ+4tTxa+1c/dwntr0XcV8tuVj6wgA/eXL42JonR0w+IocSayWwdAIO4qW/oRHn4wMpGrFsVGv2x45auKGZD8zshSXe0HojTX90o9iT2Lb3tlrPVttS17WcC3udKL9M/ayy9Uld7hq1B9l256zBtus2xfRGm3rMS+BcCDiIz+VN7TgnH0p82EU72vcqH+MZYw6Wu8aOWTtn79I4zXnX7L3vnbet471SR/h5Fpa4ipySwLkScBCf65u7oHPzgdr3YXtBVzz7q+Qd3XhPM94sz+LZMz7GrSVwcgIO4pO/gv0OwIdUxA58WCXGkqsiF9GbGn7yWOLUWkuNnqjWa418jeknJj+V2I99q7J3W0t+Cjtk7yE9U5xlSXvse+dt6zbV2jw/A0ti4VkkMJaAg3gssYn6n/WsZ3X33Xdfr6htewwfRFXprTn8Xfm+enLYugcxIldFLkq+jcknh21jPkjbHH1VfXVyVW1/auTxsVGNq0+9xtWnhshFibFVqcemRhwf28bkJte939B1z32gX9S2PLCeDx+lvfrkiKvIIXLYqC8mF6UvPxfJE6eWXGzNx5/BuqUEZiHgIJ4F6+5Nn/nMZ/YOYYYztc7/SWAqAk//+q77ktf1i9pUz5lhH4ZvxNCd4RFuKYGTE3AQn/wVeAA/YP0Z6CPAz0VVX4+5GQm49dEIOIiPhtoHSUACEpCABG4ScBDfZGJGAhKQgATWReCkt3UQnxS/D5eABCQggbUTcBCv/SfA+0tAAhKQwEkJHH0Qn/S2PlwCEpCABCSwMAIO4oW9EI8jAQlIQALrIuAgnvV9u7kEJCABCUhgOwEH8XY+ViUgAQlIQAKzEnAQz4p3XZt7WwlIQAISGE/AQTyemSskIAEJSEACkxFwEE+G0o3WRcDbSkACEpiGgIN4Go7uIgEJSEACEtiLgIN4L2wuksC6CHhbCUhgPgIO4vnYzrZz/rNw7QM25du+Q+NjPac9J89tc4fE7FfV7kWtza0thkHVku/POYecj76qdg21NmcsgTkJOIjnpLtl74c/+Efd237ro72itmXpSUt8SOU/TbfPQVi/zzrW8FzslGLPqD0b+Smf1e4/5d7b9nr/7z/UvfPht/SK2ra11OAQneoOnGNK5T7Y9k63bt2a8lFdu/+km7vZRRBwEJ/oNT78wU/0DmGGM7Vdx2o/QPjNTq6uI1fV1ohTx4/Ixccmrrb1iRH9VeSqqCWOj42oVZ8YkYvFR4mxiFwVuapa6/PhR39q1SdHHBGjxFjiKnJV1BLjo8RY4og4Sm5f+76PPti942oQ94navvuyLmfEEleRi8bmWbdrDT1RX2/NbfMv9b1vu7O1ZRFwEC/rfUx6Gj5gqvjQqg8gTh2/1vp8esljUfWJUd0Hn1xVXYO/S1m7qa8+Az99+HUtfmqHWPZB7FGfQY6YPMInV0U+MX7bQ0w+qr3JLcly3pwRS5zz4ZOLNuXpSy29sbVGT/L41BJjyaGaxyc3hXgGYi/2xY+IySP85GPJV7/tIaYnqr3JzWnd+/QEHMSnfweznoDf5FH7IH7Dt7l94uyP3Wf9IWumusO+Z+DO0b57LH1d7odteZOL2nuQb3PE5CPiquSxNT/Ub883dN3YPs4XjV1rvwRaAg7ilsgFxXxQ8MEUzXG1Yzxjn3NzZ86G8PfZY8ga9q4asubcenK/vnOnFpuexPBHyWNTiyWH6EsOS26p4nxVSz2n52oJLDN2EC/zvQw6FR8EfHgh/EGLUSuoKwAAEABJREFURjax98gle7dP+Sz2ggkaeqCsGdq/tj5YwmjMvVkzpv8UvdzpHM55CjY+8zgEHMTH4XySp/DhwodMNPQQdR3+tnXUsz+29vbVao7eGuOTm0LsxXmiTXumjmXNpr6+PP2sq0pfWyNfc23MHtTJn4s4L+euytlrjr7k8WsNf1Mt+T7b7tPXsy3HcyP22tbb1ujP2tj0tDXyNdfGrKdOXq2XwFyDeL1EB978xc/5gu7bXvaMXlHbtk39jYuP0l99csRV5BA5bNQXJxdLb/WJEbkqclFfPrm2h5gaFlV/bJwPOPZAxOxRRb6q1vCpYaM2Jk+uilzUl09uWw81+rBT6AXPeGn3ihe/qlfUtj2jPUdfTC7KXomxycWSq0oeW/P45FD1iRG5KDE2oha/WvJVtYZPDRu1MXlyVeSivnxy23qo0YdV6yLgID7R+37xcz6/dwgznKmd6FgX9ViGb7TmD7jn//n7um+9GsR9onZRL93LSOAMCTiIp3hp7rE4AgzeqsUd0ANJQAISuE3AQXwbhEYCEpCABCRwCgIO4lNQP+9nenoJSEACEpiQgIN4QphuJQEJSEACEhhLwEE8lpj96yLgbSUgAQnMTMBBPDNgt5eABCQgAQlsI+Ag3kbHmgTWRcDbSkACJyDgID4BdB8pAQlIQAISCAEHcUhoJSCBdRHwthJYCAEH8UJehMeQgAQkIIF1EnAQr/O9e2sJSGBdBLztggk4iBf8cjyaBCQgAQlcPgEH8eW/Y28oAQlIYF0Ezuy2DuIze2EeVwISkIAELouAg/gM32f+036xS74CZxx6PnrRrv4hPbv26KvPtW/fs84pBxc09MxjeofsyX5VQ9bM0cMZ5tjXPSVw4CAW4L4Efv1dH+h++md/sVfUdu1b/xN/l/ABwR1yJ/xt96dvW31orX3OkH3bNUOfdcq+Dz30q93/+Lkf7RW1bWfjvnBB+Nt656zx/GjO59S92/vy/FrXl8BUBBzEU5Ecuc+vP/i/un/95v/cK2ojt7urnQ+Q6K7CVZA89iq88wdxdCd55SQXe5W680dy2CTxo+SwfTnyfWo/8LIWS38sfkQuSg5LLjZ+4ljyEbkoOSy5auOTX7o+9K5f7X77La/vFbWh56/vhftX7dpjW++22qZ9WVNrNcaPag9+8tjE2KjNE1fRR4yNaowfpa6VwC4CDuJdhEr9HFw+BPjAjIhzbvzksZvy9KVGX1Wt0ZMaPrXEWHKo5vHJtaK/r0aOWtSuI257iMlHxFmPT544Fh8RR/SRi8jjx8YnvmRxT1i0dyRf1deTNdQ29ba1rGktfRE19iPGxxJXnxhRI4/wyUXkNokeatiIeJva/Ym39VuTQAg4iEPizCy/ySM+KOrxk8fWPH5fLnlqiLiKXFTzQ/32fJvW0cdzNtW35VkXtX3s2+aGxOw3pO/Se+DXx4JctItB+rBtb1+u7eEMUWrErMUmhyUXEU8tnsf+7IslxkfEEbGSwBACDuIhlBbYw29+1Hc08lXpSa7vgyK12K57YhW9yWGfyM73K8/gmWOfwLqqsevb/uzFWVBbX1sMj8oBn1y0i0f6YtOfmP1Q8ofY7Bl7yF5j1+aZsWPX279OAg7iM3/v/IYf+wHGmqVde+wdjnX+JbI61t15zrHeyz6cORvrsJz1UI3ZJ8/FHvpc10vAQXxhPwN8MPCBUpUr1hx9yePXGv6mWvJ9tt2nr2dTrq7FTx8+54mSr7btobfWt/n0oraHXMT+qeMnn9wl23pf/NwVPxywyffZtrf240f09a0nlx5s4vRjk49PHNGP2lqbo06uqt2j1lqf9emPbXuMJdBHwEHcR+UIua956V/qvu+7/kavqG07Ar/ha70vJhelNzE2uVhyVcljax6fHKo+MSIXJcZG1OK3lhralE8ttvaRq0qNXHxsjfGjXTXqUV2T3JLts1/y8u6rXvWaXlHbdfZN900+NvsQx48lV9WXT661dR0+9Vh8VGP8KupRXz45evCxCD9KjI2oxY8lV5W8VgLbCDiIt9GZsfY1L3le973f+U29ojbjo916ZQSefd/Lu6/8jh8q+qxPbWU4vK4EFkfAQby4V+KBJCABCUhgTQQcxGt6295VAisk4JUlsHQCDuKlvyHPJwEJSEACF03AQXzRr9fLSUAC6yLgbc+RgIP4HN+aZ5aABCQggYsh4CC+mFfpRSQgAQmsi8Cl3NZBfClv0ntIQAISkMBZEnAQn+Vr89ASkIAEJHApBIYN4ku5rfeQgAQkIAEJLIyAg3hhL8TjSEACEpDAugg4iG++bzMSkIAEJCCBoxFwEB8NtQ+SgAQkIAEJ3CTgIL7JZF0ZbysBCUhAAicl4CA+KX4fLgEJSEACayfgID7Tn4Cx/+Fx+qe8KvtVTbn3jHvNsjUcZtnYTSUggVUQcBCf6DU/8sgj3dvf/vZeUdt2LD74b9261SH8bb1z1nh+dMpzTHHHMedve2EwxRncQwISWCcBB/GJ3jvDdt9BXI9chwADoqr29fnberfV+vZqc5vW1zx+XUccJZ8Ym1wsuSg5bHJY4igxFm3LU6/a1Jse6vjYqMb4UeqzWx8gAQmcBQEH8Vm8prsPyfDlQ/3ubHf9DZla1NeTNdTShyXeVEt+qGUv9oyI69rksZtq9FOjJyImj/CTx5JDbZ6YfERMP8Injx/b+sRoUy811m4Ta+mLiLf1W5OABNZFwEF8pu+bD/W+D3Ry0a6rpQ/b9vbl+nroQ5yn1slFNT/Wzx7Ydm1fjh7yEXFVe85aa/3sgW1rfTF7pxdLnD7iKDntpATcTAJnS8BBfLav7olvwHy45wr4fPhHyW+y6YtNX2L2Q8m3Nn1tnji1WHL7KOtjs0dizoeSx6YWS26s2DPrsWPXt/3sUdXWjSUggfUScBCf4btnSBzj2AyOIc+h71hnas/Ds9vcKWPOAwvsKc/hsy+cgNe7KAIO4jN8nXzI82GP8HMFfHJR8n227WVN+vAj+pIfalmT9bF1bXJYemut+tToqUq95uhLHr/W8FPbZus6+mrctwc5RO8utXsNXbdrX+sSkMBlEHAQn+g9vuhFL+pe+cpX9opat+N/fLijto1cVerk4seSq+rLJ9da1tVcX0wuans35WsffvpiyaHEWOIqclWpkYuP7YtrDr+KNajNEZOP2pg8uSpySgISGETg4pscxCd6xQzbQwbxiY7tYyUgAQlIYGICDuKJgbrddgJ8K9zeYVUCEpDAugjcNYjXdXVvKwEJSEACEjg9AQfx6d+BJ5CABCQggRUTWPEgXvFb9+oSkIAEJLAYAg7ixbwKDyIBCUhAAmsk4CBeyVv3mhKQgAQksEwCDuJlvhdPJQEJSEACKyHgIF7Ji17XNb2tBCQggfMh4CA+n3flSSUgAQlI4AIJOIgv8KV6pXUR8LYSkMB5E3AQn/f78/QSkIAEJHDmBBzEZ/4CPb4E1kXA20rg8gg4iC/vnXojCUhAAhI4IwIO4jN6WR5VAhJYFwFvuw4CDuJ1vGdvKQEJSEACCyXgIF7oi/FYEpCABNZFYL233TmIv+6n39Pd85qHlAwW8zNw72v9eZzr9+RTX/s/F/Oe57rj1Ps+bSXMnvbAu8/2Z+Nprzvd2b/6J9+78/9h7BzEv/Z/Pt296/5OyWARPwMf/oFndR//dNf99pf/RzUxgw/+w491/+/Tj3c/9eIPq4EM/vs/+ILusStm/+FrP9Bdst7zj57cPfbJP+1+5/uf37317z37rPTRH/7S7rFP/Wn34Ku/uHvzNz79qOKZv/mhT/YO4prcOYjT/NBDD3VKBqf+GcjPI/a3f+5HOzUdA5hGP/2zv9ip3QzCC/v2t7+9u1RxP/TwBz/Rve23PnpW+uhjV//P/erwD77/492b3/l7RxXPvHr0zj8GD+KdO9kgAQlIQAISkMBoApc/iEcjcYEEJCABCUjgeAQcxMdj7ZMkIAEJSEACNwg4iG8gOeuEh5eABCQggTMj4CA+sxfmcSUgAQlI4LIIOIgv632u6zbeVgISkMAFEHAQX8BL9AoSkIAElkDgLa/+sg61ZyGH2vzUMc9AY/b9hTd83Y32vtyNpgkTDuIJYbqVBGYk4NYSkMAWAgzgV73pdzq0pW2RJQfxIl+Lh5KABCRwngQYhAzFnB6fXGIsuSpyEXl8LMKPNsXJY1H6p7J8Q47qnsnF1toY30E8hpa9EpDAcQj4lIsmwGCuaocncer4u2DQSw8W4Y9RBmlsXUvum3/wv3YRcerJxdZaeoZYB/EQSvZIQAISkMCkBBiwUbvxPsO03WNMnEEa265lwEZjam3vpthBvImMeQlIQALHIbC6pzCAGbbR0gFkQMfmvAzn5LDJj7UO4rHE7JeABCQgga0EGLAMW4S/tXnPInvvuXRxyxzEi3slHkgCEpDABRO4uhrDmUEaXaUG/VHX4Q9adGAT33T55luVLdta8mOtg3gsMfslIAEJSKCXQB2O+CiN1SdHXEUOkcNGfXFysfRWn3ioGKZtb5sjrqr9NY9fa0N9B/FQUvZJQAISkIAExhEY1O0gHoTJJglIQAISkMA8BBzE83B1VwlIQAISkMAgAhcziAfd1iYJSEACEpDAwgg4iBf2QjyOBCQgAQmsi4CD+Czft4eWgAQkIIFLIeAgvpQ36T0kIAEJrIQA//zxlFflnxHett+u+ra1Q2oO4iGU7DkpAR8uAQlcHoFDhum+/8zwUIpzD972HA7iloixBCQgAQmMJsBgrWo3qDV86lgUHxslT4wfJcZG1PCxCH9fZQhjUd2HGNUcPrmIeKwcxGOJ2S+BWQm4uQTOkwDfUqvqQMSvNXxuiUX4u0Qf2tRXn4G/qW9XPv92LCxKP4OWGOH35aklP8Y6iMfQslcCEpCABDYSYABGG5tmKmwb0lM8ct8hO+TZDuIhlOyRgARmIeCml0OAAcwwjC7nZvPfxEE8P2OfIAEJSEACIwgw1Ee0n32rg/jsX6EXkIAEzoPAZZ+Sb8IM0Kjetq9Wc/TWGJ/cqcSfhuavA6NdZ6i9Q/r79nMQ91ExJwEJSEACowkwQKvqBn355NJXY/yaj4+ttSExPdvEMG3r5BD5WHzUF5ND1MfKQTyWmP0SkIAEJLCTgA3DCTiIh7OyUwISkIAEJDA5AQfx5EjdUAISkIAE1kXgsNs6iA/j52oJSEACEpDAQQQcxAfhc7EEJCABCUjgMALnNogPu62rJSABCUhAAgsj4CBe2AvxOBKQgAQksC4CDuIlv2/PJgEJSEACF0/AQXzxr9gLSkACElg2gfzbuGJPcVr+rVhV9Qx9+b5cXTPGdxCPoWXvnATcWwISWCEBhi//pizE9WPxjyn+rVhVDNr6/NTIUUuMJSa/rxzE+5JznQQkIAEJXBQBBmq062Lpw+7q3VV3EO8iZF0CcxBwTwlI4JoA34D5Vozwr5Mn+IWByrfbaNcR0he7q39b3UG8jY41CUhAAhKYlUAG8HwdlMsAABAASURBVCmH8KwXHLC5g3gAJFskIIGDCLhYAhsJMIAZxtHGxpkLfLPlW3G07XFtL2u29e+qOYh3EbIuAQlIQAKzEWAAM4wj4tketmNjBmxV2snFjyVXlfw+1kG8DzXXSEACEthEwPxoAgzfiIE8eoMzX+AgPvMX6PElIAEJnDMBBm/VOd9l37M7iPcl5zoJSEACEpDABAQcxBNAdAsJSEACEpDAvgQcxPuSc50EJCABCayLwEy3dRDPBNZtJSABCayFQP5Gq9j23uTb3FJi/tGjqlOcy0F8Cuo+UwISkMCFEah/w1U7eKlNed12/0P3rv8YEkP50P3Grl/oIB57DfslIAEJSGApBBi8dVhWnzMSR8QoMZa4ilwVtcT4KDGWeCoxmKO6Z3KxtTbWdxCPJWa/BCQgAQkcTIBhjdiI4YkfEZNH+MnHkq9+20NMz6FiyG77trytNubZDuIxtGbqdVsJSEACayfA8IyOzYKBGzFc6/OTx9b8lL6DeEqa7iUBCUhAAnsRyDfc2L022XMRwxf1LSdf1ddzaM5BfChB148kYLsEJHDpBPhmy0A9t3sycOf85ruJh4N4ExnzEpCABCQwmADDNxo7hOnP2tg8uK2Rr7k2Zj118ocqg5nhHNU9k8PSW2tjfAfxGFr2SmAkAdslsAYCDL6q9s7Uaq6NqZGrIhf15ZPb1pPaNtsO0L6YXFT3Sg5b82N9B/FYYvZLQAISkIAEJiTgIJ4QpltJYN0EvL0E1kPg0G/BlZSDuNLQl4AEJCABCRyZgIP4yMB9nAQkcBkE5rjFm970pg4N3XtM79A97Ts+AQfx8Zn7RAlIQAI3CDBUX/3qV3cI/0aDiYsl4CC+2FfrxSQggXMlwDDO2RnKVclvstt6t9U27fdE3l/nJOAgnpOue0tAAhIYSIDhy6Bs28lX9fVkDbVNvW0ta4bYJz3pSddtf/2FT+9++G89dza99u88r/tXf/8FHXaq53zJn/uz12f/lr/yzO4N33PftX7y+17S/cxrXtb9xJVNbg7LM68fvuMXB/EOQJYlIAEJHIvAq6/+1DQDs30euaittXH6sH21NjckfupTn3rd9ox/8Z7uy37q/bPpRT/xvu45r3+kw071nC943buvz/7sf/ne7qVv+t1rffkbH+3+4hve133FlU2u2ql8nnnvU+65fv62XxzE2+hYk4AEJHBkAu0wZqCSi3YdJ32x6U/Mfij5Ifaxxx67bvv0d3+q+6Nv+bXJ9fjr7+siHvT4P/uD7vF/8rb59Lqn8Zg7z+TZ7/iuBzuEHxFXJY8dkn/fD3bdxz75+PWztv3iIN5Gx5oEJCCBIxEYOxz3PRYDeezaz3zmM9dLPv2B3+j++JfeOLnY/A9e+7LuTx79Tdyr6fXLXffoA/Ppk48+8ZyrX3/gba/o0Dsefkv3rS9+1bVPjIjJI3xyETnU5onJo/d99MGrJ+z+47SDePf57JCABCSwCgIMSIYxws+l8clFyffZtpc16cOP6EteezeBH/+2d3TR3ZXuOt/miNOPJR4rB/FYYvZLQAISmIkAAxK125OrSp1c/FhyVX355LQ3CeQbb2w6EjNsUfLY1GLJjZGDeAytw3pdLQEJSEACZ06AYTv1FRzEUxN1PwlIQAISOEsCDFm+7VblIjVHX/L4tYaf2lDrIB5Kyr5xBOyWgAQkMJAAf6PWwNZJ29758Ftu7MdgrUpDX66vRl/yQ62DeCgp+yQgAQlIQAIzEHAQzwDVLVdHwAtLYPUEvvCf/9YNBn25G01jE1//eNehdh051Ob3jPlTzFV7bjNomYN4ECabJCABCUhgbQT408wRQ3mu+zuI5yLrvhK4MAKP/MLru2vdtku+Hudcwvnyz+3GLuFMpzpD++24jUed61fuuftbMd+EyY3a5LBmBnN02E5d5yA+lKDrJbAiAi/65td00VKG3dLx13+ml4G89PMecj6Ga9Uhey15LQM435SxxIec10F8CD3XSkACdwgwmKM7ydtO8tjbqWtDHF0nbv+SXOzt9LVJDnuduPoFP7oK7/zRl7tTHObM2sVgjuqDkovdVEs+fdjkYslFyWGTwxJHibEo+SGWv/u5asiaJfcwYCMGbj1r8tia38d3EO9DzTUSkMBdBBh4+aaMJU4DPrloU56+1NIbW2v0JI9PLTGWHKp5fHJLEkNu27flITXus22ftkY/avPE5CPiPB8/+bVZhi/quzf5qr6eoTkH8VBS9klAAnf9NeI69EDDsIuIq8jXOD75KLnY5LHJjbHt+casnbKXQRYx3OreyWNrfqzP+qhdS77NEZOPiK91+5f2nLfTkxn+9PXBm/HXhPlrwwj/4A1vbpBvuwzc+De7nsjsqj/R1f+rg7ifi1kJSKCHAMMN9ZTu/LVj6ig9+IiBipLHkq8ih+jry1M7NzHUUN+5yVf19QzJ1T3wswYf9Q1c8lVZM5flT1kzgBH+XM8Zu28GKBa168kh8lhUfWJUc/hj5CAeQ8teCUjgmgBDkmF5HQz8hTUDWy+yjaHHQDzF5Xj23M/tG65tjhhxllj8UarffvFRNqh+cpvtnQqDlG+9CJ8Cfix+n2q99YmHykE8lJR9EpDARgIMWQZzVZprjr7k8WsNf1Mt+T7b7tPXs8Qcw5HBXFXPWfP01lr1qdVe/NTxI/qSx08+NrU1Wobs0HszqKOha3b1OYh3EbIuAQlcE2DgXTu3f+mLyUW32+76U9bJxaY3NnlscrHkEDG2ilxEHh8btXHyc1sGXn1GX0wuans35WsffvpiyaHEWOIqclWpkYuPbWNyaxUDmKEdTcXhKIN4qsO6jwQkIAEJSODSCDiIL+2Neh8JSODsCfgtdBmvkG++fAtGnKjGyZFHtUY8Rg7iMbQG9dokAQlIQALnQoABWs/aF9ccflW7llrNDfEdxEMo2SMBCUhAAhKYiYCDeCawa9nWe0pAAhKQwGEEHMSH8XO1BCQgAQlI4CACBw3i+++/f9TDx/aP2nzmZs7eap9Hssdc6/bde5/zLHnNP/5PH+vQ0DMO7x22I/tVDVs1fRdnmH7X7s6/5nLX3vWfC97VO6Y+175jzrCUXv4Z4CWchX9bFufAotYnRtSqyI0S/zrLqrqYPDEW4U8g/qasqG6XHLbm9/EPGsT7PHDuNXMNo1u3bnWI82MR/rE05HlDeo513lM9h+Hzb//mvR3CP9U5eH50rDO09+X5Uz+bIcg/k4vwt+1Pz7b60Fr7nCH7tmuGPusUfWOGadu7pL+7mgHLvy0LtX64UquiL7VBln9zVlU7cIlTxx+06eYmhix/81WUzjZPnNo+dvJBzCCsag+1T61dU2P8PCM+FtU8MUoOS1xFLiIff5elN2p7k8fWGjFqc8TkEX7UxuTJRYmxUWqxyWPJxcYnviTVQcSQqtp1z22922qb9mVNrdUYP6o9+MljE2OjNk9cRR8xNqoxfpR67C7bDkSGX8RafGwVuajNE7c14ponRuQi4ogcfmx84iUqgxWLOCO2ihwiF4sfJYeNqFWfGCU3h2XADtmX4RsN6b/Rw4CN2iJDuM2NiPsGal+OLclHxIdo8kHMt7Kq9kN+U42+TTUumFr1k2Nt8rHU8KnhR8Tko+QTj7Xslz2wxNkDn1zUl6cneSxx+vHJ9Yla+rB9PeSrWFP7iFPHr7Vz9Rm+DJb2/OSr+nqyhtqm3raWNa2lL6LGfsT4WOLqEyNq5BE+uYjcJtFDDRsRb1O7/7Nf8vJt7dc1hm/fcCNHLbpubn5pe4hrC3HW41MjjsVHxBF95CLy+LHxiZeofKPFIs6IrcoAJdfWibeJtayLiLf1z11jADOwo9HPYwAzbKPRG2xfwDff2kGM+gYu+aq6bqw/+SDmAHyoR8RzKPtjp9ifgZS9sMRD96U/GrJm297bakP2bntyLmxbm/pZ7f6nihlEDJn2+eSittbG6cP21dpcG3OGKDVi9sMmhyUXEU8tnsf+7IslxkfEEfEQMdwYgEN62x7WRW2NfdvckJj9hvRt71lWlYEZDTkZg5Z+erHE+Ig4IlabCTBwU60+Azf5WOoo8SF28kHMBz4f8NEhh9u09hjP2PTsvnzuGtvXc4rc0jgdkwHDhgGTZ+KTi5LfZNMXm77E7IeSP8Rmz9hD9hq7Ns/Efuhdvzp4OUNznwHIuqrBD9zQmL04C9rQdlZphiaDNDr08Nkn9tD9DlnPN2G+FUej9+KbMN+Ko9EbjFvAoI2ykrgOZmKU+j528kG8zyGWsoZBmuG1lDN5jnEEphqOu57K4NrV09Y5G+uwbW2feMw+eS52n2dlzVKHHQM5Z1yrZdBmiO9iMHWdAVv3rHH16SGuIjdKDOOqLCYXH9vG5EYow7a1bNEO3vRQ20cHD2IGV8QBMsxqjnyUPJbe5PHJRcSptZZa+rC1Xmvka0wvMfmpxH7sW5W921ryU9ghew/pmeIsS9qDQcOAQvg5Gz65KPk+2/ayJn34EX3JtzY9WGrY9GOJyccnjsijttbmqJOraveotdZnffqxY/4aMQO5Dj98clH7LOK2h17yQ0QvanvJReyfOn7yyS3VZoAyRDljjZMjH5FDibfZdq+h67btaa3rGLxVhzI5aBDzQV+Vw9Qc/q58Xz05bN2DGJGrIhcl38bkk8O2McO0zdFX1VcnV9X2p0YeHxvVuPrUa1x9aohclBhblXpsasTxsW1M7lzFgEHt+clVpU4ufiy5qr58cq2t6/Cpx+KjGuNXUY/68snRg49F+FFibEQtfiy5aOifmmbIoewRSy4ih4+tIleVGrn42BrjR7tq1KO6JrmlWgYmyvnwq/ry5OjBRm1MnlwVuXVp/9sybPn2i91/l90rDxrEu7e3QwISkIAEJHA5BBjKDOeqQ2/nIC4EL+lbYbmWrgQkIAEJDCDAkG3bNuXIR+2asfGUg3jss+2XgAQkIAEJrJ6Ag3j1PwICkIAEJCCBUxJwEO9L33USkIAEJCCBCQg4iCeA6BYSkIAEJCCBfQkMHsT33Xdfp1bLYDHvvv6gf9V3/FC3VH3lgs+2iVll+73f+U2d2s2gMnvlK1/ZXapyz8993ld3n/eN3z1I/Nuz6MUi/F36nKf/hScede83dN1zH7ip/Bu1Ytue5GPbeuKnPPf6OS94xku7V7z4VTdU/45o/NpDHCWfGJsclv2vH7Tjl52D+OVf9JTuJbc6JYNF/Aw868c/3N37lHu6r3r33160Xrbw8/Xxe86/u7d72lM+p/v+h5+lBjL4q//+E9fM/u5/e153yfrSn/nU9e+7z33jk7vP//m/Nkj3vOah6z4sGrLuST/2+93Tr35/3/NjX9jd82++7aau9mSvO2p7dtXT/yMfv77PC97Qda9489UwbnRn/9v71Z5aS74vR439v/aLn7RjDHfdzkH8X77nhd3jr79PyWAxPwN/+MBXzHuWFb/rjz3w5bId+f7XwuxYv+/+75F+fx/rPr/2T7/s8EG8cwcbJCAnMW/JAAAAf0lEQVQBCUhAAhLYm8DOb8R77+xCCUjgHAh4RglI4MQEHMQnfgE+XgISkIAE1k3AQbzu9+/tJbAuAt5WAgsk4CBe4EvxSBKQgAQksB4CDuL1vGtvKgEJrIuAtz0TAteD+MlPfvKj733vezslA38G/BnwZ8CfAX8GjvczwPz9/wAAAP//IMONfAAAAAZJREFUAwAAD7W7eD8cqgAAAABJRU5ErkJggg==">
          <a:extLst>
            <a:ext uri="{FF2B5EF4-FFF2-40B4-BE49-F238E27FC236}">
              <a16:creationId xmlns:a16="http://schemas.microsoft.com/office/drawing/2014/main" id="{00000000-0008-0000-0400-000001300000}"/>
            </a:ext>
          </a:extLst>
        </xdr:cNvPr>
        <xdr:cNvSpPr>
          <a:spLocks noChangeAspect="1" noChangeArrowheads="1"/>
        </xdr:cNvSpPr>
      </xdr:nvSpPr>
      <xdr:spPr bwMode="auto">
        <a:xfrm>
          <a:off x="9220200" y="120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195262</xdr:colOff>
      <xdr:row>2</xdr:row>
      <xdr:rowOff>16668</xdr:rowOff>
    </xdr:from>
    <xdr:to>
      <xdr:col>7</xdr:col>
      <xdr:colOff>304800</xdr:colOff>
      <xdr:row>15</xdr:row>
      <xdr:rowOff>159543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A44DD11-FC99-4EE6-BB4A-C888B55FD6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1400" y="416718"/>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138112</xdr:colOff>
      <xdr:row>4</xdr:row>
      <xdr:rowOff>61913</xdr:rowOff>
    </xdr:from>
    <xdr:to>
      <xdr:col>9</xdr:col>
      <xdr:colOff>566737</xdr:colOff>
      <xdr:row>16</xdr:row>
      <xdr:rowOff>147638</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671512</xdr:colOff>
      <xdr:row>5</xdr:row>
      <xdr:rowOff>66675</xdr:rowOff>
    </xdr:from>
    <xdr:to>
      <xdr:col>8</xdr:col>
      <xdr:colOff>671513</xdr:colOff>
      <xdr:row>18</xdr:row>
      <xdr:rowOff>28576</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114300</xdr:colOff>
      <xdr:row>1</xdr:row>
      <xdr:rowOff>0</xdr:rowOff>
    </xdr:from>
    <xdr:to>
      <xdr:col>11</xdr:col>
      <xdr:colOff>571500</xdr:colOff>
      <xdr:row>14</xdr:row>
      <xdr:rowOff>66675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A258EC7-8A09-4015-9AF4-825DB121F8A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486650" y="200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681038</xdr:colOff>
      <xdr:row>1</xdr:row>
      <xdr:rowOff>104775</xdr:rowOff>
    </xdr:from>
    <xdr:to>
      <xdr:col>14</xdr:col>
      <xdr:colOff>452438</xdr:colOff>
      <xdr:row>14</xdr:row>
      <xdr:rowOff>171450</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A1295826-3F6C-4ABE-962E-6239458B3353}"/>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9424988" y="3048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152399</xdr:colOff>
      <xdr:row>1</xdr:row>
      <xdr:rowOff>50006</xdr:rowOff>
    </xdr:from>
    <xdr:to>
      <xdr:col>12</xdr:col>
      <xdr:colOff>609599</xdr:colOff>
      <xdr:row>14</xdr:row>
      <xdr:rowOff>192881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7031669-46BD-48F3-BD00-95EAECA4B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6362" y="25003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576263</xdr:colOff>
      <xdr:row>10</xdr:row>
      <xdr:rowOff>9525</xdr:rowOff>
    </xdr:from>
    <xdr:ext cx="542925" cy="523875"/>
    <xdr:pic>
      <xdr:nvPicPr>
        <xdr:cNvPr id="7" name="image1.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xfrm>
          <a:off x="576263" y="1914525"/>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43295</xdr:colOff>
      <xdr:row>3</xdr:row>
      <xdr:rowOff>86592</xdr:rowOff>
    </xdr:from>
    <xdr:ext cx="14754225" cy="7439025"/>
    <xdr:grpSp>
      <xdr:nvGrpSpPr>
        <xdr:cNvPr id="2" name="Shape 2">
          <a:extLst>
            <a:ext uri="{FF2B5EF4-FFF2-40B4-BE49-F238E27FC236}">
              <a16:creationId xmlns:a16="http://schemas.microsoft.com/office/drawing/2014/main" id="{00000000-0008-0000-0A00-000002000000}"/>
            </a:ext>
          </a:extLst>
        </xdr:cNvPr>
        <xdr:cNvGrpSpPr/>
      </xdr:nvGrpSpPr>
      <xdr:grpSpPr>
        <a:xfrm>
          <a:off x="1991591" y="658092"/>
          <a:ext cx="14754225" cy="7439025"/>
          <a:chOff x="0" y="60488"/>
          <a:chExt cx="10692000" cy="7439025"/>
        </a:xfrm>
      </xdr:grpSpPr>
      <xdr:grpSp>
        <xdr:nvGrpSpPr>
          <xdr:cNvPr id="29" name="Shape 29">
            <a:extLst>
              <a:ext uri="{FF2B5EF4-FFF2-40B4-BE49-F238E27FC236}">
                <a16:creationId xmlns:a16="http://schemas.microsoft.com/office/drawing/2014/main" id="{00000000-0008-0000-0A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A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A00-00001F000000}"/>
                </a:ext>
              </a:extLst>
            </xdr:cNvPr>
            <xdr:cNvSpPr/>
          </xdr:nvSpPr>
          <xdr:spPr>
            <a:xfrm>
              <a:off x="1836640" y="279950"/>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A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A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A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A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A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400" b="0">
                  <a:solidFill>
                    <a:schemeClr val="accent2">
                      <a:lumMod val="50000"/>
                    </a:schemeClr>
                  </a:solidFill>
                  <a:latin typeface="Arial Black" panose="020B0A04020102020204" pitchFamily="34" charset="0"/>
                </a:endParaRPr>
              </a:p>
            </xdr:txBody>
          </xdr:sp>
          <xdr:sp macro="" textlink="">
            <xdr:nvSpPr>
              <xdr:cNvPr id="37" name="Shape 37">
                <a:extLst>
                  <a:ext uri="{FF2B5EF4-FFF2-40B4-BE49-F238E27FC236}">
                    <a16:creationId xmlns:a16="http://schemas.microsoft.com/office/drawing/2014/main" id="{00000000-0008-0000-0A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600">
                  <a:latin typeface="Arial Black" panose="020B0A04020102020204" pitchFamily="34" charset="0"/>
                </a:endParaRPr>
              </a:p>
            </xdr:txBody>
          </xdr:sp>
          <xdr:sp macro="" textlink="">
            <xdr:nvSpPr>
              <xdr:cNvPr id="38" name="Shape 38">
                <a:extLst>
                  <a:ext uri="{FF2B5EF4-FFF2-40B4-BE49-F238E27FC236}">
                    <a16:creationId xmlns:a16="http://schemas.microsoft.com/office/drawing/2014/main" id="{00000000-0008-0000-0A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A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A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A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A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A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A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A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A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A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A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A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A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A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A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A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199159</xdr:colOff>
      <xdr:row>9</xdr:row>
      <xdr:rowOff>25977</xdr:rowOff>
    </xdr:from>
    <xdr:to>
      <xdr:col>7</xdr:col>
      <xdr:colOff>251113</xdr:colOff>
      <xdr:row>13</xdr:row>
      <xdr:rowOff>112567</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2147455" y="1740477"/>
          <a:ext cx="2649682" cy="848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2">
                  <a:lumMod val="50000"/>
                </a:schemeClr>
              </a:solidFill>
              <a:latin typeface="Arial Black" panose="020B0A04020102020204" pitchFamily="34" charset="0"/>
            </a:rPr>
            <a:t>Total</a:t>
          </a:r>
          <a:r>
            <a:rPr lang="en-US" sz="1600" baseline="0">
              <a:solidFill>
                <a:schemeClr val="accent2">
                  <a:lumMod val="50000"/>
                </a:schemeClr>
              </a:solidFill>
              <a:latin typeface="Arial Black" panose="020B0A04020102020204" pitchFamily="34" charset="0"/>
            </a:rPr>
            <a:t>  Employees</a:t>
          </a:r>
        </a:p>
        <a:p>
          <a:endParaRPr lang="en-US" sz="1200">
            <a:solidFill>
              <a:schemeClr val="accent2">
                <a:lumMod val="50000"/>
              </a:schemeClr>
            </a:solidFill>
            <a:latin typeface="Arial Black" panose="020B0A04020102020204" pitchFamily="34" charset="0"/>
          </a:endParaRPr>
        </a:p>
      </xdr:txBody>
    </xdr:sp>
    <xdr:clientData/>
  </xdr:twoCellAnchor>
  <xdr:twoCellAnchor>
    <xdr:from>
      <xdr:col>3</xdr:col>
      <xdr:colOff>329045</xdr:colOff>
      <xdr:row>11</xdr:row>
      <xdr:rowOff>17317</xdr:rowOff>
    </xdr:from>
    <xdr:to>
      <xdr:col>6</xdr:col>
      <xdr:colOff>294409</xdr:colOff>
      <xdr:row>13</xdr:row>
      <xdr:rowOff>34634</xdr:rowOff>
    </xdr:to>
    <xdr:sp macro="" textlink="KPI!A8">
      <xdr:nvSpPr>
        <xdr:cNvPr id="5" name="TextBox 4">
          <a:extLst>
            <a:ext uri="{FF2B5EF4-FFF2-40B4-BE49-F238E27FC236}">
              <a16:creationId xmlns:a16="http://schemas.microsoft.com/office/drawing/2014/main" id="{00000000-0008-0000-0A00-000005000000}"/>
            </a:ext>
          </a:extLst>
        </xdr:cNvPr>
        <xdr:cNvSpPr txBox="1"/>
      </xdr:nvSpPr>
      <xdr:spPr>
        <a:xfrm>
          <a:off x="2277341" y="2112817"/>
          <a:ext cx="1913659" cy="3983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46B7C2-EA91-40BB-92CC-958B554A03D1}" type="TxLink">
            <a:rPr lang="en-US" sz="2000" b="0" i="0" u="none" strike="noStrike">
              <a:solidFill>
                <a:schemeClr val="accent1">
                  <a:lumMod val="50000"/>
                </a:schemeClr>
              </a:solidFill>
              <a:latin typeface="Arial Black" panose="020B0A04020102020204" pitchFamily="34" charset="0"/>
              <a:ea typeface="Calibri"/>
              <a:cs typeface="Calibri"/>
            </a:rPr>
            <a:pPr algn="ctr"/>
            <a:t>299</a:t>
          </a:fld>
          <a:endParaRPr lang="en-US" sz="2000">
            <a:solidFill>
              <a:schemeClr val="accent1">
                <a:lumMod val="50000"/>
              </a:schemeClr>
            </a:solidFill>
            <a:latin typeface="Arial Black" panose="020B0A04020102020204" pitchFamily="34" charset="0"/>
          </a:endParaRPr>
        </a:p>
      </xdr:txBody>
    </xdr:sp>
    <xdr:clientData/>
  </xdr:twoCellAnchor>
  <xdr:twoCellAnchor>
    <xdr:from>
      <xdr:col>7</xdr:col>
      <xdr:colOff>545521</xdr:colOff>
      <xdr:row>9</xdr:row>
      <xdr:rowOff>8659</xdr:rowOff>
    </xdr:from>
    <xdr:to>
      <xdr:col>11</xdr:col>
      <xdr:colOff>597476</xdr:colOff>
      <xdr:row>13</xdr:row>
      <xdr:rowOff>95249</xdr:rowOff>
    </xdr:to>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5091545" y="1723159"/>
          <a:ext cx="2649682" cy="848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a:solidFill>
                <a:schemeClr val="accent2">
                  <a:lumMod val="50000"/>
                </a:schemeClr>
              </a:solidFill>
              <a:effectLst/>
              <a:latin typeface="Arial Black" panose="020B0A04020102020204" pitchFamily="34" charset="0"/>
              <a:ea typeface="+mn-ea"/>
              <a:cs typeface="+mn-cs"/>
            </a:rPr>
            <a:t>Attrition</a:t>
          </a:r>
          <a:endParaRPr lang="en-US" sz="1600">
            <a:solidFill>
              <a:schemeClr val="accent2">
                <a:lumMod val="50000"/>
              </a:schemeClr>
            </a:solidFill>
            <a:effectLst/>
            <a:latin typeface="Arial Black" panose="020B0A04020102020204" pitchFamily="34" charset="0"/>
          </a:endParaRPr>
        </a:p>
        <a:p>
          <a:endParaRPr lang="en-US" sz="1400">
            <a:solidFill>
              <a:schemeClr val="accent2">
                <a:lumMod val="50000"/>
              </a:schemeClr>
            </a:solidFill>
            <a:latin typeface="Arial Black" panose="020B0A04020102020204" pitchFamily="34" charset="0"/>
          </a:endParaRPr>
        </a:p>
      </xdr:txBody>
    </xdr:sp>
    <xdr:clientData/>
  </xdr:twoCellAnchor>
  <xdr:twoCellAnchor>
    <xdr:from>
      <xdr:col>8</xdr:col>
      <xdr:colOff>199159</xdr:colOff>
      <xdr:row>11</xdr:row>
      <xdr:rowOff>43295</xdr:rowOff>
    </xdr:from>
    <xdr:to>
      <xdr:col>10</xdr:col>
      <xdr:colOff>199159</xdr:colOff>
      <xdr:row>13</xdr:row>
      <xdr:rowOff>51955</xdr:rowOff>
    </xdr:to>
    <xdr:sp macro="" textlink="KPI!B8">
      <xdr:nvSpPr>
        <xdr:cNvPr id="10" name="TextBox 9">
          <a:extLst>
            <a:ext uri="{FF2B5EF4-FFF2-40B4-BE49-F238E27FC236}">
              <a16:creationId xmlns:a16="http://schemas.microsoft.com/office/drawing/2014/main" id="{00000000-0008-0000-0A00-00000A000000}"/>
            </a:ext>
          </a:extLst>
        </xdr:cNvPr>
        <xdr:cNvSpPr txBox="1"/>
      </xdr:nvSpPr>
      <xdr:spPr>
        <a:xfrm>
          <a:off x="5394614" y="2138795"/>
          <a:ext cx="1298863" cy="389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69B33B-4D4A-467C-BF79-0348BC4BFBA9}" type="TxLink">
            <a:rPr lang="en-US" sz="2000" b="0" i="0" u="none" strike="noStrike">
              <a:solidFill>
                <a:srgbClr val="000000"/>
              </a:solidFill>
              <a:latin typeface="Arial Black" panose="020B0A04020102020204" pitchFamily="34" charset="0"/>
              <a:ea typeface="Calibri"/>
              <a:cs typeface="Calibri"/>
            </a:rPr>
            <a:pPr algn="ctr"/>
            <a:t>48</a:t>
          </a:fld>
          <a:endParaRPr lang="en-US" sz="2000">
            <a:latin typeface="Arial Black" panose="020B0A04020102020204" pitchFamily="34" charset="0"/>
          </a:endParaRPr>
        </a:p>
      </xdr:txBody>
    </xdr:sp>
    <xdr:clientData/>
  </xdr:twoCellAnchor>
  <xdr:twoCellAnchor>
    <xdr:from>
      <xdr:col>12</xdr:col>
      <xdr:colOff>190501</xdr:colOff>
      <xdr:row>8</xdr:row>
      <xdr:rowOff>147205</xdr:rowOff>
    </xdr:from>
    <xdr:to>
      <xdr:col>16</xdr:col>
      <xdr:colOff>277092</xdr:colOff>
      <xdr:row>13</xdr:row>
      <xdr:rowOff>25977</xdr:rowOff>
    </xdr:to>
    <xdr:sp macro="" textlink="">
      <xdr:nvSpPr>
        <xdr:cNvPr id="12" name="TextBox 11">
          <a:extLst>
            <a:ext uri="{FF2B5EF4-FFF2-40B4-BE49-F238E27FC236}">
              <a16:creationId xmlns:a16="http://schemas.microsoft.com/office/drawing/2014/main" id="{00000000-0008-0000-0A00-00000C000000}"/>
            </a:ext>
          </a:extLst>
        </xdr:cNvPr>
        <xdr:cNvSpPr txBox="1"/>
      </xdr:nvSpPr>
      <xdr:spPr>
        <a:xfrm>
          <a:off x="7983683" y="1671205"/>
          <a:ext cx="2684318" cy="8312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rial Black" panose="020B0A04020102020204" pitchFamily="34" charset="0"/>
            </a:rPr>
            <a:t>Active Employees</a:t>
          </a:r>
        </a:p>
      </xdr:txBody>
    </xdr:sp>
    <xdr:clientData/>
  </xdr:twoCellAnchor>
  <xdr:twoCellAnchor>
    <xdr:from>
      <xdr:col>12</xdr:col>
      <xdr:colOff>476251</xdr:colOff>
      <xdr:row>11</xdr:row>
      <xdr:rowOff>43295</xdr:rowOff>
    </xdr:from>
    <xdr:to>
      <xdr:col>14</xdr:col>
      <xdr:colOff>510888</xdr:colOff>
      <xdr:row>13</xdr:row>
      <xdr:rowOff>25977</xdr:rowOff>
    </xdr:to>
    <xdr:sp macro="" textlink="KPI!D8">
      <xdr:nvSpPr>
        <xdr:cNvPr id="13" name="TextBox 12">
          <a:extLst>
            <a:ext uri="{FF2B5EF4-FFF2-40B4-BE49-F238E27FC236}">
              <a16:creationId xmlns:a16="http://schemas.microsoft.com/office/drawing/2014/main" id="{00000000-0008-0000-0A00-00000D000000}"/>
            </a:ext>
          </a:extLst>
        </xdr:cNvPr>
        <xdr:cNvSpPr txBox="1"/>
      </xdr:nvSpPr>
      <xdr:spPr>
        <a:xfrm>
          <a:off x="8269433" y="2138795"/>
          <a:ext cx="1333500" cy="3636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A9850F-7221-4016-8D44-C38DE10CBE50}" type="TxLink">
            <a:rPr lang="en-US" sz="2000" b="0" i="0" u="none" strike="noStrike">
              <a:solidFill>
                <a:srgbClr val="002060"/>
              </a:solidFill>
              <a:latin typeface="Arial Black" panose="020B0A04020102020204" pitchFamily="34" charset="0"/>
              <a:ea typeface="Calibri"/>
              <a:cs typeface="Calibri"/>
            </a:rPr>
            <a:pPr algn="ctr"/>
            <a:t>251</a:t>
          </a:fld>
          <a:endParaRPr lang="en-US" sz="2000">
            <a:solidFill>
              <a:srgbClr val="002060"/>
            </a:solidFill>
            <a:latin typeface="Arial Black" panose="020B0A04020102020204" pitchFamily="34" charset="0"/>
          </a:endParaRPr>
        </a:p>
      </xdr:txBody>
    </xdr:sp>
    <xdr:clientData/>
  </xdr:twoCellAnchor>
  <xdr:twoCellAnchor>
    <xdr:from>
      <xdr:col>16</xdr:col>
      <xdr:colOff>510886</xdr:colOff>
      <xdr:row>8</xdr:row>
      <xdr:rowOff>138543</xdr:rowOff>
    </xdr:from>
    <xdr:to>
      <xdr:col>20</xdr:col>
      <xdr:colOff>623455</xdr:colOff>
      <xdr:row>13</xdr:row>
      <xdr:rowOff>43294</xdr:rowOff>
    </xdr:to>
    <xdr:sp macro="" textlink="">
      <xdr:nvSpPr>
        <xdr:cNvPr id="14" name="TextBox 13">
          <a:extLst>
            <a:ext uri="{FF2B5EF4-FFF2-40B4-BE49-F238E27FC236}">
              <a16:creationId xmlns:a16="http://schemas.microsoft.com/office/drawing/2014/main" id="{00000000-0008-0000-0A00-00000E000000}"/>
            </a:ext>
          </a:extLst>
        </xdr:cNvPr>
        <xdr:cNvSpPr txBox="1"/>
      </xdr:nvSpPr>
      <xdr:spPr>
        <a:xfrm>
          <a:off x="10901795" y="1662543"/>
          <a:ext cx="2710296" cy="8572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rial Black" panose="020B0A04020102020204" pitchFamily="34" charset="0"/>
            </a:rPr>
            <a:t>Attrition Rate</a:t>
          </a:r>
        </a:p>
      </xdr:txBody>
    </xdr:sp>
    <xdr:clientData/>
  </xdr:twoCellAnchor>
  <xdr:twoCellAnchor>
    <xdr:from>
      <xdr:col>17</xdr:col>
      <xdr:colOff>121225</xdr:colOff>
      <xdr:row>10</xdr:row>
      <xdr:rowOff>190499</xdr:rowOff>
    </xdr:from>
    <xdr:to>
      <xdr:col>19</xdr:col>
      <xdr:colOff>129885</xdr:colOff>
      <xdr:row>12</xdr:row>
      <xdr:rowOff>181840</xdr:rowOff>
    </xdr:to>
    <xdr:sp macro="" textlink="KPI!E8">
      <xdr:nvSpPr>
        <xdr:cNvPr id="15" name="TextBox 14">
          <a:extLst>
            <a:ext uri="{FF2B5EF4-FFF2-40B4-BE49-F238E27FC236}">
              <a16:creationId xmlns:a16="http://schemas.microsoft.com/office/drawing/2014/main" id="{00000000-0008-0000-0A00-00000F000000}"/>
            </a:ext>
          </a:extLst>
        </xdr:cNvPr>
        <xdr:cNvSpPr txBox="1"/>
      </xdr:nvSpPr>
      <xdr:spPr>
        <a:xfrm>
          <a:off x="11161567" y="2095499"/>
          <a:ext cx="1307523" cy="3723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A623D4-039B-4C34-B204-793E48C46887}" type="TxLink">
            <a:rPr lang="en-US" sz="2000" b="0" i="0" u="none" strike="noStrike">
              <a:solidFill>
                <a:srgbClr val="002060"/>
              </a:solidFill>
              <a:latin typeface="Arial Black" panose="020B0A04020102020204" pitchFamily="34" charset="0"/>
              <a:ea typeface="Calibri"/>
              <a:cs typeface="Calibri"/>
            </a:rPr>
            <a:pPr algn="ctr"/>
            <a:t>16.05%</a:t>
          </a:fld>
          <a:endParaRPr lang="en-US" sz="2000">
            <a:solidFill>
              <a:srgbClr val="002060"/>
            </a:solidFill>
            <a:latin typeface="Arial Black" panose="020B0A04020102020204" pitchFamily="34" charset="0"/>
          </a:endParaRPr>
        </a:p>
      </xdr:txBody>
    </xdr:sp>
    <xdr:clientData/>
  </xdr:twoCellAnchor>
  <xdr:twoCellAnchor>
    <xdr:from>
      <xdr:col>21</xdr:col>
      <xdr:colOff>207817</xdr:colOff>
      <xdr:row>8</xdr:row>
      <xdr:rowOff>164523</xdr:rowOff>
    </xdr:from>
    <xdr:to>
      <xdr:col>25</xdr:col>
      <xdr:colOff>277090</xdr:colOff>
      <xdr:row>13</xdr:row>
      <xdr:rowOff>51955</xdr:rowOff>
    </xdr:to>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13845886" y="1688523"/>
          <a:ext cx="2667000" cy="8399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rial Black" panose="020B0A04020102020204" pitchFamily="34" charset="0"/>
            </a:rPr>
            <a:t>Average Age</a:t>
          </a:r>
        </a:p>
      </xdr:txBody>
    </xdr:sp>
    <xdr:clientData/>
  </xdr:twoCellAnchor>
  <xdr:twoCellAnchor>
    <xdr:from>
      <xdr:col>21</xdr:col>
      <xdr:colOff>424295</xdr:colOff>
      <xdr:row>11</xdr:row>
      <xdr:rowOff>69273</xdr:rowOff>
    </xdr:from>
    <xdr:to>
      <xdr:col>23</xdr:col>
      <xdr:colOff>528203</xdr:colOff>
      <xdr:row>13</xdr:row>
      <xdr:rowOff>34636</xdr:rowOff>
    </xdr:to>
    <xdr:sp macro="" textlink="KPI!C8">
      <xdr:nvSpPr>
        <xdr:cNvPr id="17" name="TextBox 16">
          <a:extLst>
            <a:ext uri="{FF2B5EF4-FFF2-40B4-BE49-F238E27FC236}">
              <a16:creationId xmlns:a16="http://schemas.microsoft.com/office/drawing/2014/main" id="{00000000-0008-0000-0A00-000011000000}"/>
            </a:ext>
          </a:extLst>
        </xdr:cNvPr>
        <xdr:cNvSpPr txBox="1"/>
      </xdr:nvSpPr>
      <xdr:spPr>
        <a:xfrm>
          <a:off x="14062364" y="2164773"/>
          <a:ext cx="1402772" cy="346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924635-0DDA-4BD4-848E-2AFB2EC4A35D}" type="TxLink">
            <a:rPr lang="en-US" sz="2000" b="0" i="0" u="none" strike="noStrike">
              <a:solidFill>
                <a:srgbClr val="000000"/>
              </a:solidFill>
              <a:latin typeface="Arial Black" panose="020B0A04020102020204" pitchFamily="34" charset="0"/>
              <a:ea typeface="Calibri"/>
              <a:cs typeface="Calibri"/>
            </a:rPr>
            <a:pPr algn="ctr"/>
            <a:t>37</a:t>
          </a:fld>
          <a:endParaRPr lang="en-US" sz="2000">
            <a:solidFill>
              <a:srgbClr val="002060"/>
            </a:solidFill>
            <a:latin typeface="Arial Black" panose="020B0A04020102020204" pitchFamily="34" charset="0"/>
          </a:endParaRPr>
        </a:p>
      </xdr:txBody>
    </xdr:sp>
    <xdr:clientData/>
  </xdr:twoCellAnchor>
  <xdr:oneCellAnchor>
    <xdr:from>
      <xdr:col>6</xdr:col>
      <xdr:colOff>476251</xdr:colOff>
      <xdr:row>8</xdr:row>
      <xdr:rowOff>190499</xdr:rowOff>
    </xdr:from>
    <xdr:ext cx="333375" cy="314325"/>
    <xdr:pic>
      <xdr:nvPicPr>
        <xdr:cNvPr id="85" name="image4.png">
          <a:extLst>
            <a:ext uri="{FF2B5EF4-FFF2-40B4-BE49-F238E27FC236}">
              <a16:creationId xmlns:a16="http://schemas.microsoft.com/office/drawing/2014/main" id="{00000000-0008-0000-0A00-000055000000}"/>
            </a:ext>
          </a:extLst>
        </xdr:cNvPr>
        <xdr:cNvPicPr preferRelativeResize="0"/>
      </xdr:nvPicPr>
      <xdr:blipFill>
        <a:blip xmlns:r="http://schemas.openxmlformats.org/officeDocument/2006/relationships" r:embed="rId1" cstate="print"/>
        <a:stretch>
          <a:fillRect/>
        </a:stretch>
      </xdr:blipFill>
      <xdr:spPr>
        <a:xfrm>
          <a:off x="4372842" y="1714499"/>
          <a:ext cx="333375" cy="314325"/>
        </a:xfrm>
        <a:prstGeom prst="rect">
          <a:avLst/>
        </a:prstGeom>
        <a:noFill/>
      </xdr:spPr>
    </xdr:pic>
    <xdr:clientData fLocksWithSheet="0"/>
  </xdr:oneCellAnchor>
  <xdr:oneCellAnchor>
    <xdr:from>
      <xdr:col>15</xdr:col>
      <xdr:colOff>467592</xdr:colOff>
      <xdr:row>9</xdr:row>
      <xdr:rowOff>8659</xdr:rowOff>
    </xdr:from>
    <xdr:ext cx="419100" cy="304800"/>
    <xdr:pic>
      <xdr:nvPicPr>
        <xdr:cNvPr id="86" name="image5.png">
          <a:extLst>
            <a:ext uri="{FF2B5EF4-FFF2-40B4-BE49-F238E27FC236}">
              <a16:creationId xmlns:a16="http://schemas.microsoft.com/office/drawing/2014/main" id="{00000000-0008-0000-0A00-000056000000}"/>
            </a:ext>
          </a:extLst>
        </xdr:cNvPr>
        <xdr:cNvPicPr preferRelativeResize="0"/>
      </xdr:nvPicPr>
      <xdr:blipFill>
        <a:blip xmlns:r="http://schemas.openxmlformats.org/officeDocument/2006/relationships" r:embed="rId2" cstate="print"/>
        <a:stretch>
          <a:fillRect/>
        </a:stretch>
      </xdr:blipFill>
      <xdr:spPr>
        <a:xfrm>
          <a:off x="10209070" y="1723159"/>
          <a:ext cx="419100" cy="304800"/>
        </a:xfrm>
        <a:prstGeom prst="rect">
          <a:avLst/>
        </a:prstGeom>
        <a:noFill/>
      </xdr:spPr>
    </xdr:pic>
    <xdr:clientData fLocksWithSheet="0"/>
  </xdr:oneCellAnchor>
  <xdr:oneCellAnchor>
    <xdr:from>
      <xdr:col>20</xdr:col>
      <xdr:colOff>103910</xdr:colOff>
      <xdr:row>8</xdr:row>
      <xdr:rowOff>181841</xdr:rowOff>
    </xdr:from>
    <xdr:ext cx="390525" cy="314325"/>
    <xdr:pic>
      <xdr:nvPicPr>
        <xdr:cNvPr id="87" name="image2.png">
          <a:extLst>
            <a:ext uri="{FF2B5EF4-FFF2-40B4-BE49-F238E27FC236}">
              <a16:creationId xmlns:a16="http://schemas.microsoft.com/office/drawing/2014/main" id="{00000000-0008-0000-0A00-000057000000}"/>
            </a:ext>
          </a:extLst>
        </xdr:cNvPr>
        <xdr:cNvPicPr preferRelativeResize="0"/>
      </xdr:nvPicPr>
      <xdr:blipFill>
        <a:blip xmlns:r="http://schemas.openxmlformats.org/officeDocument/2006/relationships" r:embed="rId3" cstate="print"/>
        <a:stretch>
          <a:fillRect/>
        </a:stretch>
      </xdr:blipFill>
      <xdr:spPr>
        <a:xfrm>
          <a:off x="13092546" y="1705841"/>
          <a:ext cx="390525" cy="314325"/>
        </a:xfrm>
        <a:prstGeom prst="rect">
          <a:avLst/>
        </a:prstGeom>
        <a:noFill/>
      </xdr:spPr>
    </xdr:pic>
    <xdr:clientData fLocksWithSheet="0"/>
  </xdr:oneCellAnchor>
  <xdr:oneCellAnchor>
    <xdr:from>
      <xdr:col>24</xdr:col>
      <xdr:colOff>528204</xdr:colOff>
      <xdr:row>8</xdr:row>
      <xdr:rowOff>181841</xdr:rowOff>
    </xdr:from>
    <xdr:ext cx="295275" cy="266700"/>
    <xdr:pic>
      <xdr:nvPicPr>
        <xdr:cNvPr id="88" name="image6.png">
          <a:extLst>
            <a:ext uri="{FF2B5EF4-FFF2-40B4-BE49-F238E27FC236}">
              <a16:creationId xmlns:a16="http://schemas.microsoft.com/office/drawing/2014/main" id="{00000000-0008-0000-0A00-000058000000}"/>
            </a:ext>
          </a:extLst>
        </xdr:cNvPr>
        <xdr:cNvPicPr preferRelativeResize="0"/>
      </xdr:nvPicPr>
      <xdr:blipFill>
        <a:blip xmlns:r="http://schemas.openxmlformats.org/officeDocument/2006/relationships" r:embed="rId4" cstate="print"/>
        <a:stretch>
          <a:fillRect/>
        </a:stretch>
      </xdr:blipFill>
      <xdr:spPr>
        <a:xfrm>
          <a:off x="16114568" y="1705841"/>
          <a:ext cx="295275" cy="266700"/>
        </a:xfrm>
        <a:prstGeom prst="rect">
          <a:avLst/>
        </a:prstGeom>
        <a:noFill/>
      </xdr:spPr>
    </xdr:pic>
    <xdr:clientData fLocksWithSheet="0"/>
  </xdr:oneCellAnchor>
  <xdr:oneCellAnchor>
    <xdr:from>
      <xdr:col>11</xdr:col>
      <xdr:colOff>17317</xdr:colOff>
      <xdr:row>8</xdr:row>
      <xdr:rowOff>147204</xdr:rowOff>
    </xdr:from>
    <xdr:ext cx="485775" cy="400050"/>
    <xdr:pic>
      <xdr:nvPicPr>
        <xdr:cNvPr id="89" name="image7.png">
          <a:extLst>
            <a:ext uri="{FF2B5EF4-FFF2-40B4-BE49-F238E27FC236}">
              <a16:creationId xmlns:a16="http://schemas.microsoft.com/office/drawing/2014/main" id="{00000000-0008-0000-0A00-000059000000}"/>
            </a:ext>
          </a:extLst>
        </xdr:cNvPr>
        <xdr:cNvPicPr preferRelativeResize="0"/>
      </xdr:nvPicPr>
      <xdr:blipFill>
        <a:blip xmlns:r="http://schemas.openxmlformats.org/officeDocument/2006/relationships" r:embed="rId5" cstate="print"/>
        <a:stretch>
          <a:fillRect/>
        </a:stretch>
      </xdr:blipFill>
      <xdr:spPr>
        <a:xfrm>
          <a:off x="7161068" y="1671204"/>
          <a:ext cx="485775" cy="400050"/>
        </a:xfrm>
        <a:prstGeom prst="rect">
          <a:avLst/>
        </a:prstGeom>
        <a:noFill/>
      </xdr:spPr>
    </xdr:pic>
    <xdr:clientData fLocksWithSheet="0"/>
  </xdr:oneCellAnchor>
  <xdr:twoCellAnchor>
    <xdr:from>
      <xdr:col>4</xdr:col>
      <xdr:colOff>355023</xdr:colOff>
      <xdr:row>4</xdr:row>
      <xdr:rowOff>77932</xdr:rowOff>
    </xdr:from>
    <xdr:to>
      <xdr:col>15</xdr:col>
      <xdr:colOff>640771</xdr:colOff>
      <xdr:row>7</xdr:row>
      <xdr:rowOff>103909</xdr:rowOff>
    </xdr:to>
    <xdr:sp macro="" textlink="">
      <xdr:nvSpPr>
        <xdr:cNvPr id="18" name="TextBox 17">
          <a:extLst>
            <a:ext uri="{FF2B5EF4-FFF2-40B4-BE49-F238E27FC236}">
              <a16:creationId xmlns:a16="http://schemas.microsoft.com/office/drawing/2014/main" id="{00000000-0008-0000-0A00-000012000000}"/>
            </a:ext>
          </a:extLst>
        </xdr:cNvPr>
        <xdr:cNvSpPr txBox="1"/>
      </xdr:nvSpPr>
      <xdr:spPr>
        <a:xfrm>
          <a:off x="2952750" y="839932"/>
          <a:ext cx="7429499" cy="597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accent1">
                  <a:lumMod val="75000"/>
                </a:schemeClr>
              </a:solidFill>
              <a:latin typeface="Arial Black" panose="020B0A04020102020204" pitchFamily="34" charset="0"/>
            </a:rPr>
            <a:t>HR ANALYITICS</a:t>
          </a:r>
          <a:r>
            <a:rPr lang="en-US" sz="3200" baseline="0">
              <a:solidFill>
                <a:schemeClr val="accent1">
                  <a:lumMod val="75000"/>
                </a:schemeClr>
              </a:solidFill>
              <a:latin typeface="Arial Black" panose="020B0A04020102020204" pitchFamily="34" charset="0"/>
            </a:rPr>
            <a:t> DASHBOARD</a:t>
          </a:r>
          <a:endParaRPr lang="en-US" sz="3200">
            <a:solidFill>
              <a:schemeClr val="accent1">
                <a:lumMod val="75000"/>
              </a:schemeClr>
            </a:solidFill>
            <a:latin typeface="Arial Black" panose="020B0A04020102020204" pitchFamily="34" charset="0"/>
          </a:endParaRPr>
        </a:p>
      </xdr:txBody>
    </xdr:sp>
    <xdr:clientData/>
  </xdr:twoCellAnchor>
  <xdr:oneCellAnchor>
    <xdr:from>
      <xdr:col>3</xdr:col>
      <xdr:colOff>181840</xdr:colOff>
      <xdr:row>4</xdr:row>
      <xdr:rowOff>129887</xdr:rowOff>
    </xdr:from>
    <xdr:ext cx="542925" cy="523875"/>
    <xdr:pic>
      <xdr:nvPicPr>
        <xdr:cNvPr id="90" name="image1.png">
          <a:extLst>
            <a:ext uri="{FF2B5EF4-FFF2-40B4-BE49-F238E27FC236}">
              <a16:creationId xmlns:a16="http://schemas.microsoft.com/office/drawing/2014/main" id="{00000000-0008-0000-0A00-00005A000000}"/>
            </a:ext>
          </a:extLst>
        </xdr:cNvPr>
        <xdr:cNvPicPr preferRelativeResize="0"/>
      </xdr:nvPicPr>
      <xdr:blipFill>
        <a:blip xmlns:r="http://schemas.openxmlformats.org/officeDocument/2006/relationships" r:embed="rId6" cstate="print"/>
        <a:stretch>
          <a:fillRect/>
        </a:stretch>
      </xdr:blipFill>
      <xdr:spPr>
        <a:xfrm>
          <a:off x="2130136" y="891887"/>
          <a:ext cx="542925" cy="523875"/>
        </a:xfrm>
        <a:prstGeom prst="rect">
          <a:avLst/>
        </a:prstGeom>
        <a:noFill/>
      </xdr:spPr>
    </xdr:pic>
    <xdr:clientData fLocksWithSheet="0"/>
  </xdr:oneCellAnchor>
  <xdr:oneCellAnchor>
    <xdr:from>
      <xdr:col>16</xdr:col>
      <xdr:colOff>389659</xdr:colOff>
      <xdr:row>4</xdr:row>
      <xdr:rowOff>25977</xdr:rowOff>
    </xdr:from>
    <xdr:ext cx="723900" cy="628650"/>
    <xdr:pic>
      <xdr:nvPicPr>
        <xdr:cNvPr id="91" name="image3.png">
          <a:extLst>
            <a:ext uri="{FF2B5EF4-FFF2-40B4-BE49-F238E27FC236}">
              <a16:creationId xmlns:a16="http://schemas.microsoft.com/office/drawing/2014/main" id="{00000000-0008-0000-0A00-00005B000000}"/>
            </a:ext>
          </a:extLst>
        </xdr:cNvPr>
        <xdr:cNvPicPr preferRelativeResize="0"/>
      </xdr:nvPicPr>
      <xdr:blipFill>
        <a:blip xmlns:r="http://schemas.openxmlformats.org/officeDocument/2006/relationships" r:embed="rId7" cstate="print"/>
        <a:stretch>
          <a:fillRect/>
        </a:stretch>
      </xdr:blipFill>
      <xdr:spPr>
        <a:xfrm>
          <a:off x="10780568" y="787977"/>
          <a:ext cx="723900" cy="628650"/>
        </a:xfrm>
        <a:prstGeom prst="rect">
          <a:avLst/>
        </a:prstGeom>
        <a:noFill/>
      </xdr:spPr>
    </xdr:pic>
    <xdr:clientData fLocksWithSheet="0"/>
  </xdr:oneCellAnchor>
  <xdr:twoCellAnchor>
    <xdr:from>
      <xdr:col>17</xdr:col>
      <xdr:colOff>528203</xdr:colOff>
      <xdr:row>3</xdr:row>
      <xdr:rowOff>147205</xdr:rowOff>
    </xdr:from>
    <xdr:to>
      <xdr:col>20</xdr:col>
      <xdr:colOff>372341</xdr:colOff>
      <xdr:row>7</xdr:row>
      <xdr:rowOff>173182</xdr:rowOff>
    </xdr:to>
    <xdr:sp macro="" textlink="">
      <xdr:nvSpPr>
        <xdr:cNvPr id="19" name="TextBox 18">
          <a:extLst>
            <a:ext uri="{FF2B5EF4-FFF2-40B4-BE49-F238E27FC236}">
              <a16:creationId xmlns:a16="http://schemas.microsoft.com/office/drawing/2014/main" id="{00000000-0008-0000-0A00-000013000000}"/>
            </a:ext>
          </a:extLst>
        </xdr:cNvPr>
        <xdr:cNvSpPr txBox="1"/>
      </xdr:nvSpPr>
      <xdr:spPr>
        <a:xfrm>
          <a:off x="11568545" y="718705"/>
          <a:ext cx="1792432" cy="78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2">
                  <a:lumMod val="50000"/>
                </a:schemeClr>
              </a:solidFill>
              <a:latin typeface="Arial Black" panose="020B0A04020102020204" pitchFamily="34" charset="0"/>
            </a:rPr>
            <a:t>JOB</a:t>
          </a:r>
        </a:p>
        <a:p>
          <a:r>
            <a:rPr lang="en-US" sz="1200">
              <a:solidFill>
                <a:schemeClr val="accent2">
                  <a:lumMod val="50000"/>
                </a:schemeClr>
              </a:solidFill>
              <a:latin typeface="Arial Black" panose="020B0A04020102020204" pitchFamily="34" charset="0"/>
            </a:rPr>
            <a:t>SATISFACTION</a:t>
          </a:r>
        </a:p>
        <a:p>
          <a:r>
            <a:rPr lang="en-US" sz="1200">
              <a:solidFill>
                <a:schemeClr val="accent2">
                  <a:lumMod val="50000"/>
                </a:schemeClr>
              </a:solidFill>
              <a:latin typeface="Arial Black" panose="020B0A04020102020204" pitchFamily="34" charset="0"/>
            </a:rPr>
            <a:t>RATING</a:t>
          </a:r>
        </a:p>
        <a:p>
          <a:endParaRPr lang="en-US" sz="1400">
            <a:solidFill>
              <a:schemeClr val="accent2">
                <a:lumMod val="50000"/>
              </a:schemeClr>
            </a:solidFill>
            <a:latin typeface="Arial Black" panose="020B0A04020102020204" pitchFamily="34" charset="0"/>
          </a:endParaRPr>
        </a:p>
        <a:p>
          <a:endParaRPr lang="en-US" sz="1400">
            <a:solidFill>
              <a:schemeClr val="accent2">
                <a:lumMod val="50000"/>
              </a:schemeClr>
            </a:solidFill>
            <a:latin typeface="Arial Black" panose="020B0A04020102020204" pitchFamily="34" charset="0"/>
          </a:endParaRPr>
        </a:p>
      </xdr:txBody>
    </xdr:sp>
    <xdr:clientData/>
  </xdr:twoCellAnchor>
  <xdr:twoCellAnchor>
    <xdr:from>
      <xdr:col>20</xdr:col>
      <xdr:colOff>43296</xdr:colOff>
      <xdr:row>3</xdr:row>
      <xdr:rowOff>147203</xdr:rowOff>
    </xdr:from>
    <xdr:to>
      <xdr:col>22</xdr:col>
      <xdr:colOff>138545</xdr:colOff>
      <xdr:row>7</xdr:row>
      <xdr:rowOff>155863</xdr:rowOff>
    </xdr:to>
    <xdr:graphicFrame macro="">
      <xdr:nvGraphicFramePr>
        <xdr:cNvPr id="55" name="Chart 54">
          <a:extLst>
            <a:ext uri="{FF2B5EF4-FFF2-40B4-BE49-F238E27FC236}">
              <a16:creationId xmlns:a16="http://schemas.microsoft.com/office/drawing/2014/main" id="{00000000-0008-0000-0A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562840</xdr:colOff>
      <xdr:row>4</xdr:row>
      <xdr:rowOff>112569</xdr:rowOff>
    </xdr:from>
    <xdr:to>
      <xdr:col>21</xdr:col>
      <xdr:colOff>363679</xdr:colOff>
      <xdr:row>6</xdr:row>
      <xdr:rowOff>95251</xdr:rowOff>
    </xdr:to>
    <xdr:sp macro="" textlink="Rating!$B$6">
      <xdr:nvSpPr>
        <xdr:cNvPr id="7" name="TextBox 6">
          <a:extLst>
            <a:ext uri="{FF2B5EF4-FFF2-40B4-BE49-F238E27FC236}">
              <a16:creationId xmlns:a16="http://schemas.microsoft.com/office/drawing/2014/main" id="{00000000-0008-0000-0A00-000007000000}"/>
            </a:ext>
          </a:extLst>
        </xdr:cNvPr>
        <xdr:cNvSpPr txBox="1"/>
      </xdr:nvSpPr>
      <xdr:spPr>
        <a:xfrm>
          <a:off x="13551476" y="874569"/>
          <a:ext cx="450272"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B868AFB-89AD-463F-B0C7-7B24A7EF998D}" type="TxLink">
            <a:rPr lang="en-US" sz="1100" b="0" i="0" u="none" strike="noStrike">
              <a:solidFill>
                <a:srgbClr val="002060"/>
              </a:solidFill>
              <a:latin typeface="Arial Black" panose="020B0A04020102020204" pitchFamily="34" charset="0"/>
              <a:ea typeface="Calibri"/>
              <a:cs typeface="Calibri"/>
            </a:rPr>
            <a:pPr/>
            <a:t>2.69</a:t>
          </a:fld>
          <a:endParaRPr lang="en-US" sz="1100">
            <a:solidFill>
              <a:srgbClr val="002060"/>
            </a:solidFill>
            <a:latin typeface="Arial Black" panose="020B0A04020102020204" pitchFamily="34" charset="0"/>
          </a:endParaRPr>
        </a:p>
      </xdr:txBody>
    </xdr:sp>
    <xdr:clientData/>
  </xdr:twoCellAnchor>
  <xdr:twoCellAnchor>
    <xdr:from>
      <xdr:col>22</xdr:col>
      <xdr:colOff>0</xdr:colOff>
      <xdr:row>2</xdr:row>
      <xdr:rowOff>121227</xdr:rowOff>
    </xdr:from>
    <xdr:to>
      <xdr:col>25</xdr:col>
      <xdr:colOff>43295</xdr:colOff>
      <xdr:row>8</xdr:row>
      <xdr:rowOff>129886</xdr:rowOff>
    </xdr:to>
    <xdr:graphicFrame macro="">
      <xdr:nvGraphicFramePr>
        <xdr:cNvPr id="56" name="Chart 55">
          <a:extLst>
            <a:ext uri="{FF2B5EF4-FFF2-40B4-BE49-F238E27FC236}">
              <a16:creationId xmlns:a16="http://schemas.microsoft.com/office/drawing/2014/main" id="{00000000-0008-0000-0A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60612</xdr:colOff>
      <xdr:row>4</xdr:row>
      <xdr:rowOff>95249</xdr:rowOff>
    </xdr:from>
    <xdr:to>
      <xdr:col>25</xdr:col>
      <xdr:colOff>121227</xdr:colOff>
      <xdr:row>7</xdr:row>
      <xdr:rowOff>51954</xdr:rowOff>
    </xdr:to>
    <xdr:sp macro="" textlink="">
      <xdr:nvSpPr>
        <xdr:cNvPr id="57" name="Freeform 56">
          <a:extLst>
            <a:ext uri="{FF2B5EF4-FFF2-40B4-BE49-F238E27FC236}">
              <a16:creationId xmlns:a16="http://schemas.microsoft.com/office/drawing/2014/main" id="{00000000-0008-0000-0A00-000039000000}"/>
            </a:ext>
          </a:extLst>
        </xdr:cNvPr>
        <xdr:cNvSpPr/>
      </xdr:nvSpPr>
      <xdr:spPr>
        <a:xfrm>
          <a:off x="14348112" y="857249"/>
          <a:ext cx="2008911" cy="528205"/>
        </a:xfrm>
        <a:custGeom>
          <a:avLst/>
          <a:gdLst>
            <a:gd name="connsiteX0" fmla="*/ 1516038 w 1849271"/>
            <a:gd name="connsiteY0" fmla="*/ 27293 h 361664"/>
            <a:gd name="connsiteX1" fmla="*/ 1482209 w 1849271"/>
            <a:gd name="connsiteY1" fmla="*/ 136766 h 361664"/>
            <a:gd name="connsiteX2" fmla="*/ 1372736 w 1849271"/>
            <a:gd name="connsiteY2" fmla="*/ 136765 h 361664"/>
            <a:gd name="connsiteX3" fmla="*/ 1461302 w 1849271"/>
            <a:gd name="connsiteY3" fmla="*/ 204423 h 361664"/>
            <a:gd name="connsiteX4" fmla="*/ 1427472 w 1849271"/>
            <a:gd name="connsiteY4" fmla="*/ 313895 h 361664"/>
            <a:gd name="connsiteX5" fmla="*/ 1516038 w 1849271"/>
            <a:gd name="connsiteY5" fmla="*/ 246237 h 361664"/>
            <a:gd name="connsiteX6" fmla="*/ 1604603 w 1849271"/>
            <a:gd name="connsiteY6" fmla="*/ 313895 h 361664"/>
            <a:gd name="connsiteX7" fmla="*/ 1570773 w 1849271"/>
            <a:gd name="connsiteY7" fmla="*/ 204423 h 361664"/>
            <a:gd name="connsiteX8" fmla="*/ 1659339 w 1849271"/>
            <a:gd name="connsiteY8" fmla="*/ 136765 h 361664"/>
            <a:gd name="connsiteX9" fmla="*/ 1549866 w 1849271"/>
            <a:gd name="connsiteY9" fmla="*/ 136766 h 361664"/>
            <a:gd name="connsiteX10" fmla="*/ 1097127 w 1849271"/>
            <a:gd name="connsiteY10" fmla="*/ 27293 h 361664"/>
            <a:gd name="connsiteX11" fmla="*/ 1063298 w 1849271"/>
            <a:gd name="connsiteY11" fmla="*/ 136766 h 361664"/>
            <a:gd name="connsiteX12" fmla="*/ 953825 w 1849271"/>
            <a:gd name="connsiteY12" fmla="*/ 136765 h 361664"/>
            <a:gd name="connsiteX13" fmla="*/ 1042391 w 1849271"/>
            <a:gd name="connsiteY13" fmla="*/ 204423 h 361664"/>
            <a:gd name="connsiteX14" fmla="*/ 1008561 w 1849271"/>
            <a:gd name="connsiteY14" fmla="*/ 313895 h 361664"/>
            <a:gd name="connsiteX15" fmla="*/ 1097127 w 1849271"/>
            <a:gd name="connsiteY15" fmla="*/ 246237 h 361664"/>
            <a:gd name="connsiteX16" fmla="*/ 1185692 w 1849271"/>
            <a:gd name="connsiteY16" fmla="*/ 313895 h 361664"/>
            <a:gd name="connsiteX17" fmla="*/ 1151862 w 1849271"/>
            <a:gd name="connsiteY17" fmla="*/ 204423 h 361664"/>
            <a:gd name="connsiteX18" fmla="*/ 1240428 w 1849271"/>
            <a:gd name="connsiteY18" fmla="*/ 136765 h 361664"/>
            <a:gd name="connsiteX19" fmla="*/ 1130955 w 1849271"/>
            <a:gd name="connsiteY19" fmla="*/ 136766 h 361664"/>
            <a:gd name="connsiteX20" fmla="*/ 678217 w 1849271"/>
            <a:gd name="connsiteY20" fmla="*/ 27293 h 361664"/>
            <a:gd name="connsiteX21" fmla="*/ 644388 w 1849271"/>
            <a:gd name="connsiteY21" fmla="*/ 136766 h 361664"/>
            <a:gd name="connsiteX22" fmla="*/ 534915 w 1849271"/>
            <a:gd name="connsiteY22" fmla="*/ 136765 h 361664"/>
            <a:gd name="connsiteX23" fmla="*/ 623481 w 1849271"/>
            <a:gd name="connsiteY23" fmla="*/ 204423 h 361664"/>
            <a:gd name="connsiteX24" fmla="*/ 589651 w 1849271"/>
            <a:gd name="connsiteY24" fmla="*/ 313895 h 361664"/>
            <a:gd name="connsiteX25" fmla="*/ 678217 w 1849271"/>
            <a:gd name="connsiteY25" fmla="*/ 246237 h 361664"/>
            <a:gd name="connsiteX26" fmla="*/ 766782 w 1849271"/>
            <a:gd name="connsiteY26" fmla="*/ 313895 h 361664"/>
            <a:gd name="connsiteX27" fmla="*/ 732952 w 1849271"/>
            <a:gd name="connsiteY27" fmla="*/ 204423 h 361664"/>
            <a:gd name="connsiteX28" fmla="*/ 821518 w 1849271"/>
            <a:gd name="connsiteY28" fmla="*/ 136765 h 361664"/>
            <a:gd name="connsiteX29" fmla="*/ 712045 w 1849271"/>
            <a:gd name="connsiteY29" fmla="*/ 136766 h 361664"/>
            <a:gd name="connsiteX30" fmla="*/ 325460 w 1849271"/>
            <a:gd name="connsiteY30" fmla="*/ 27293 h 361664"/>
            <a:gd name="connsiteX31" fmla="*/ 291631 w 1849271"/>
            <a:gd name="connsiteY31" fmla="*/ 136766 h 361664"/>
            <a:gd name="connsiteX32" fmla="*/ 182158 w 1849271"/>
            <a:gd name="connsiteY32" fmla="*/ 136765 h 361664"/>
            <a:gd name="connsiteX33" fmla="*/ 270724 w 1849271"/>
            <a:gd name="connsiteY33" fmla="*/ 204423 h 361664"/>
            <a:gd name="connsiteX34" fmla="*/ 236894 w 1849271"/>
            <a:gd name="connsiteY34" fmla="*/ 313895 h 361664"/>
            <a:gd name="connsiteX35" fmla="*/ 325460 w 1849271"/>
            <a:gd name="connsiteY35" fmla="*/ 246237 h 361664"/>
            <a:gd name="connsiteX36" fmla="*/ 414025 w 1849271"/>
            <a:gd name="connsiteY36" fmla="*/ 313895 h 361664"/>
            <a:gd name="connsiteX37" fmla="*/ 380195 w 1849271"/>
            <a:gd name="connsiteY37" fmla="*/ 204423 h 361664"/>
            <a:gd name="connsiteX38" fmla="*/ 468761 w 1849271"/>
            <a:gd name="connsiteY38" fmla="*/ 136765 h 361664"/>
            <a:gd name="connsiteX39" fmla="*/ 359288 w 1849271"/>
            <a:gd name="connsiteY39" fmla="*/ 136766 h 361664"/>
            <a:gd name="connsiteX40" fmla="*/ 0 w 1849271"/>
            <a:gd name="connsiteY40" fmla="*/ 0 h 361664"/>
            <a:gd name="connsiteX41" fmla="*/ 1849271 w 1849271"/>
            <a:gd name="connsiteY41" fmla="*/ 0 h 361664"/>
            <a:gd name="connsiteX42" fmla="*/ 1849271 w 1849271"/>
            <a:gd name="connsiteY42" fmla="*/ 361664 h 361664"/>
            <a:gd name="connsiteX43" fmla="*/ 0 w 1849271"/>
            <a:gd name="connsiteY43" fmla="*/ 361664 h 3616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849271" h="361664">
              <a:moveTo>
                <a:pt x="1516038" y="27293"/>
              </a:moveTo>
              <a:lnTo>
                <a:pt x="1482209" y="136766"/>
              </a:lnTo>
              <a:lnTo>
                <a:pt x="1372736" y="136765"/>
              </a:lnTo>
              <a:lnTo>
                <a:pt x="1461302" y="204423"/>
              </a:lnTo>
              <a:lnTo>
                <a:pt x="1427472" y="313895"/>
              </a:lnTo>
              <a:lnTo>
                <a:pt x="1516038" y="246237"/>
              </a:lnTo>
              <a:lnTo>
                <a:pt x="1604603" y="313895"/>
              </a:lnTo>
              <a:lnTo>
                <a:pt x="1570773" y="204423"/>
              </a:lnTo>
              <a:lnTo>
                <a:pt x="1659339" y="136765"/>
              </a:lnTo>
              <a:lnTo>
                <a:pt x="1549866" y="136766"/>
              </a:lnTo>
              <a:close/>
              <a:moveTo>
                <a:pt x="1097127" y="27293"/>
              </a:moveTo>
              <a:lnTo>
                <a:pt x="1063298" y="136766"/>
              </a:lnTo>
              <a:lnTo>
                <a:pt x="953825" y="136765"/>
              </a:lnTo>
              <a:lnTo>
                <a:pt x="1042391" y="204423"/>
              </a:lnTo>
              <a:lnTo>
                <a:pt x="1008561" y="313895"/>
              </a:lnTo>
              <a:lnTo>
                <a:pt x="1097127" y="246237"/>
              </a:lnTo>
              <a:lnTo>
                <a:pt x="1185692" y="313895"/>
              </a:lnTo>
              <a:lnTo>
                <a:pt x="1151862" y="204423"/>
              </a:lnTo>
              <a:lnTo>
                <a:pt x="1240428" y="136765"/>
              </a:lnTo>
              <a:lnTo>
                <a:pt x="1130955" y="136766"/>
              </a:lnTo>
              <a:close/>
              <a:moveTo>
                <a:pt x="678217" y="27293"/>
              </a:moveTo>
              <a:lnTo>
                <a:pt x="644388" y="136766"/>
              </a:lnTo>
              <a:lnTo>
                <a:pt x="534915" y="136765"/>
              </a:lnTo>
              <a:lnTo>
                <a:pt x="623481" y="204423"/>
              </a:lnTo>
              <a:lnTo>
                <a:pt x="589651" y="313895"/>
              </a:lnTo>
              <a:lnTo>
                <a:pt x="678217" y="246237"/>
              </a:lnTo>
              <a:lnTo>
                <a:pt x="766782" y="313895"/>
              </a:lnTo>
              <a:lnTo>
                <a:pt x="732952" y="204423"/>
              </a:lnTo>
              <a:lnTo>
                <a:pt x="821518" y="136765"/>
              </a:lnTo>
              <a:lnTo>
                <a:pt x="712045" y="136766"/>
              </a:lnTo>
              <a:close/>
              <a:moveTo>
                <a:pt x="325460" y="27293"/>
              </a:moveTo>
              <a:lnTo>
                <a:pt x="291631" y="136766"/>
              </a:lnTo>
              <a:lnTo>
                <a:pt x="182158" y="136765"/>
              </a:lnTo>
              <a:lnTo>
                <a:pt x="270724" y="204423"/>
              </a:lnTo>
              <a:lnTo>
                <a:pt x="236894" y="313895"/>
              </a:lnTo>
              <a:lnTo>
                <a:pt x="325460" y="246237"/>
              </a:lnTo>
              <a:lnTo>
                <a:pt x="414025" y="313895"/>
              </a:lnTo>
              <a:lnTo>
                <a:pt x="380195" y="204423"/>
              </a:lnTo>
              <a:lnTo>
                <a:pt x="468761" y="136765"/>
              </a:lnTo>
              <a:lnTo>
                <a:pt x="359288" y="136766"/>
              </a:lnTo>
              <a:close/>
              <a:moveTo>
                <a:pt x="0" y="0"/>
              </a:moveTo>
              <a:lnTo>
                <a:pt x="1849271" y="0"/>
              </a:lnTo>
              <a:lnTo>
                <a:pt x="1849271" y="361664"/>
              </a:lnTo>
              <a:lnTo>
                <a:pt x="0" y="361664"/>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51955</xdr:colOff>
      <xdr:row>16</xdr:row>
      <xdr:rowOff>43294</xdr:rowOff>
    </xdr:from>
    <xdr:to>
      <xdr:col>17</xdr:col>
      <xdr:colOff>640772</xdr:colOff>
      <xdr:row>27</xdr:row>
      <xdr:rowOff>121227</xdr:rowOff>
    </xdr:to>
    <xdr:graphicFrame macro="">
      <xdr:nvGraphicFramePr>
        <xdr:cNvPr id="54" name="Chart 53">
          <a:extLst>
            <a:ext uri="{FF2B5EF4-FFF2-40B4-BE49-F238E27FC236}">
              <a16:creationId xmlns:a16="http://schemas.microsoft.com/office/drawing/2014/main" id="{00000000-0008-0000-0A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311727</xdr:colOff>
      <xdr:row>14</xdr:row>
      <xdr:rowOff>69273</xdr:rowOff>
    </xdr:from>
    <xdr:to>
      <xdr:col>15</xdr:col>
      <xdr:colOff>251113</xdr:colOff>
      <xdr:row>15</xdr:row>
      <xdr:rowOff>155865</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6806045" y="2736273"/>
          <a:ext cx="3186546" cy="277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latin typeface="Arial Black" panose="020B0A04020102020204" pitchFamily="34" charset="0"/>
            </a:rPr>
            <a:t>Education wise Attrition</a:t>
          </a:r>
        </a:p>
      </xdr:txBody>
    </xdr:sp>
    <xdr:clientData/>
  </xdr:twoCellAnchor>
  <xdr:twoCellAnchor>
    <xdr:from>
      <xdr:col>18</xdr:col>
      <xdr:colOff>623454</xdr:colOff>
      <xdr:row>14</xdr:row>
      <xdr:rowOff>86592</xdr:rowOff>
    </xdr:from>
    <xdr:to>
      <xdr:col>23</xdr:col>
      <xdr:colOff>606135</xdr:colOff>
      <xdr:row>15</xdr:row>
      <xdr:rowOff>164524</xdr:rowOff>
    </xdr:to>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12313227" y="2753592"/>
          <a:ext cx="3229841" cy="26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rial Black" panose="020B0A04020102020204" pitchFamily="34" charset="0"/>
            </a:rPr>
            <a:t>Attrition by Jo Role</a:t>
          </a:r>
        </a:p>
      </xdr:txBody>
    </xdr:sp>
    <xdr:clientData/>
  </xdr:twoCellAnchor>
  <xdr:twoCellAnchor>
    <xdr:from>
      <xdr:col>3</xdr:col>
      <xdr:colOff>121227</xdr:colOff>
      <xdr:row>30</xdr:row>
      <xdr:rowOff>129886</xdr:rowOff>
    </xdr:from>
    <xdr:to>
      <xdr:col>9</xdr:col>
      <xdr:colOff>389657</xdr:colOff>
      <xdr:row>42</xdr:row>
      <xdr:rowOff>25977</xdr:rowOff>
    </xdr:to>
    <xdr:graphicFrame macro="">
      <xdr:nvGraphicFramePr>
        <xdr:cNvPr id="61" name="Chart 60">
          <a:extLst>
            <a:ext uri="{FF2B5EF4-FFF2-40B4-BE49-F238E27FC236}">
              <a16:creationId xmlns:a16="http://schemas.microsoft.com/office/drawing/2014/main" id="{00000000-0008-0000-0A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510886</xdr:colOff>
      <xdr:row>28</xdr:row>
      <xdr:rowOff>112568</xdr:rowOff>
    </xdr:from>
    <xdr:to>
      <xdr:col>8</xdr:col>
      <xdr:colOff>95250</xdr:colOff>
      <xdr:row>30</xdr:row>
      <xdr:rowOff>69273</xdr:rowOff>
    </xdr:to>
    <xdr:sp macro="" textlink="">
      <xdr:nvSpPr>
        <xdr:cNvPr id="21" name="TextBox 20">
          <a:extLst>
            <a:ext uri="{FF2B5EF4-FFF2-40B4-BE49-F238E27FC236}">
              <a16:creationId xmlns:a16="http://schemas.microsoft.com/office/drawing/2014/main" id="{00000000-0008-0000-0A00-000015000000}"/>
            </a:ext>
          </a:extLst>
        </xdr:cNvPr>
        <xdr:cNvSpPr txBox="1"/>
      </xdr:nvSpPr>
      <xdr:spPr>
        <a:xfrm>
          <a:off x="2459182" y="5446568"/>
          <a:ext cx="2831523"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rial Black" panose="020B0A04020102020204" pitchFamily="34" charset="0"/>
            </a:rPr>
            <a:t>Department wise  Attrition</a:t>
          </a:r>
        </a:p>
      </xdr:txBody>
    </xdr:sp>
    <xdr:clientData/>
  </xdr:twoCellAnchor>
  <xdr:twoCellAnchor>
    <xdr:from>
      <xdr:col>10</xdr:col>
      <xdr:colOff>242453</xdr:colOff>
      <xdr:row>28</xdr:row>
      <xdr:rowOff>112568</xdr:rowOff>
    </xdr:from>
    <xdr:to>
      <xdr:col>15</xdr:col>
      <xdr:colOff>95249</xdr:colOff>
      <xdr:row>30</xdr:row>
      <xdr:rowOff>17317</xdr:rowOff>
    </xdr:to>
    <xdr:sp macro="" textlink="">
      <xdr:nvSpPr>
        <xdr:cNvPr id="22" name="TextBox 21">
          <a:extLst>
            <a:ext uri="{FF2B5EF4-FFF2-40B4-BE49-F238E27FC236}">
              <a16:creationId xmlns:a16="http://schemas.microsoft.com/office/drawing/2014/main" id="{00000000-0008-0000-0A00-000016000000}"/>
            </a:ext>
          </a:extLst>
        </xdr:cNvPr>
        <xdr:cNvSpPr txBox="1"/>
      </xdr:nvSpPr>
      <xdr:spPr>
        <a:xfrm>
          <a:off x="6736771" y="5446568"/>
          <a:ext cx="309995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Arial Black" panose="020B0A04020102020204" pitchFamily="34" charset="0"/>
            </a:rPr>
            <a:t>Attrition by Age Group</a:t>
          </a:r>
        </a:p>
      </xdr:txBody>
    </xdr:sp>
    <xdr:clientData/>
  </xdr:twoCellAnchor>
  <xdr:twoCellAnchor>
    <xdr:from>
      <xdr:col>9</xdr:col>
      <xdr:colOff>562840</xdr:colOff>
      <xdr:row>30</xdr:row>
      <xdr:rowOff>103910</xdr:rowOff>
    </xdr:from>
    <xdr:to>
      <xdr:col>15</xdr:col>
      <xdr:colOff>562841</xdr:colOff>
      <xdr:row>41</xdr:row>
      <xdr:rowOff>129886</xdr:rowOff>
    </xdr:to>
    <xdr:graphicFrame macro="">
      <xdr:nvGraphicFramePr>
        <xdr:cNvPr id="63" name="Chart 62">
          <a:extLst>
            <a:ext uri="{FF2B5EF4-FFF2-40B4-BE49-F238E27FC236}">
              <a16:creationId xmlns:a16="http://schemas.microsoft.com/office/drawing/2014/main" id="{00000000-0008-0000-0A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51955</xdr:colOff>
      <xdr:row>30</xdr:row>
      <xdr:rowOff>138545</xdr:rowOff>
    </xdr:from>
    <xdr:to>
      <xdr:col>20</xdr:col>
      <xdr:colOff>528205</xdr:colOff>
      <xdr:row>41</xdr:row>
      <xdr:rowOff>138545</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62A0FBEF-6008-4012-9260-F0BF5E1109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491355" y="5853545"/>
              <a:ext cx="3086100" cy="2095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225136</xdr:colOff>
      <xdr:row>28</xdr:row>
      <xdr:rowOff>95250</xdr:rowOff>
    </xdr:from>
    <xdr:to>
      <xdr:col>20</xdr:col>
      <xdr:colOff>588819</xdr:colOff>
      <xdr:row>30</xdr:row>
      <xdr:rowOff>95250</xdr:rowOff>
    </xdr:to>
    <xdr:sp macro="" textlink="">
      <xdr:nvSpPr>
        <xdr:cNvPr id="11" name="TextBox 10">
          <a:extLst>
            <a:ext uri="{FF2B5EF4-FFF2-40B4-BE49-F238E27FC236}">
              <a16:creationId xmlns:a16="http://schemas.microsoft.com/office/drawing/2014/main" id="{F30C0A36-DD59-42B8-A16A-DC7C7A892601}"/>
            </a:ext>
          </a:extLst>
        </xdr:cNvPr>
        <xdr:cNvSpPr txBox="1"/>
      </xdr:nvSpPr>
      <xdr:spPr>
        <a:xfrm>
          <a:off x="10616045" y="5429250"/>
          <a:ext cx="296141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Arial Black" panose="020B0A04020102020204" pitchFamily="34" charset="0"/>
            </a:rPr>
            <a:t>Attrition</a:t>
          </a:r>
          <a:r>
            <a:rPr lang="en-IN" sz="1400" b="1" baseline="0">
              <a:solidFill>
                <a:schemeClr val="accent2">
                  <a:lumMod val="50000"/>
                </a:schemeClr>
              </a:solidFill>
              <a:latin typeface="Arial Black" panose="020B0A04020102020204" pitchFamily="34" charset="0"/>
            </a:rPr>
            <a:t> by Marital Status</a:t>
          </a:r>
          <a:endParaRPr lang="en-IN" sz="1400" b="1">
            <a:solidFill>
              <a:schemeClr val="accent2">
                <a:lumMod val="50000"/>
              </a:schemeClr>
            </a:solidFill>
            <a:latin typeface="Arial Black" panose="020B0A04020102020204" pitchFamily="34" charset="0"/>
          </a:endParaRPr>
        </a:p>
      </xdr:txBody>
    </xdr:sp>
    <xdr:clientData/>
  </xdr:twoCellAnchor>
  <xdr:twoCellAnchor>
    <xdr:from>
      <xdr:col>18</xdr:col>
      <xdr:colOff>164522</xdr:colOff>
      <xdr:row>16</xdr:row>
      <xdr:rowOff>60614</xdr:rowOff>
    </xdr:from>
    <xdr:to>
      <xdr:col>25</xdr:col>
      <xdr:colOff>355022</xdr:colOff>
      <xdr:row>27</xdr:row>
      <xdr:rowOff>121227</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712E6124-48E8-42F2-A0B9-D99E6329A8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908847" y="3108614"/>
              <a:ext cx="4757738" cy="21561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277090</xdr:colOff>
      <xdr:row>14</xdr:row>
      <xdr:rowOff>43295</xdr:rowOff>
    </xdr:from>
    <xdr:to>
      <xdr:col>8</xdr:col>
      <xdr:colOff>372340</xdr:colOff>
      <xdr:row>15</xdr:row>
      <xdr:rowOff>138545</xdr:rowOff>
    </xdr:to>
    <xdr:sp macro="" textlink="">
      <xdr:nvSpPr>
        <xdr:cNvPr id="20" name="TextBox 19">
          <a:extLst>
            <a:ext uri="{FF2B5EF4-FFF2-40B4-BE49-F238E27FC236}">
              <a16:creationId xmlns:a16="http://schemas.microsoft.com/office/drawing/2014/main" id="{61A44AA6-8205-4DE5-AE08-1727FA6315EC}"/>
            </a:ext>
          </a:extLst>
        </xdr:cNvPr>
        <xdr:cNvSpPr txBox="1"/>
      </xdr:nvSpPr>
      <xdr:spPr>
        <a:xfrm>
          <a:off x="2225386" y="2710295"/>
          <a:ext cx="334240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Arial Black" panose="020B0A04020102020204" pitchFamily="34" charset="0"/>
            </a:rPr>
            <a:t>Total Employee by Gender</a:t>
          </a:r>
        </a:p>
      </xdr:txBody>
    </xdr:sp>
    <xdr:clientData/>
  </xdr:twoCellAnchor>
  <xdr:twoCellAnchor>
    <xdr:from>
      <xdr:col>1</xdr:col>
      <xdr:colOff>432953</xdr:colOff>
      <xdr:row>19</xdr:row>
      <xdr:rowOff>129886</xdr:rowOff>
    </xdr:from>
    <xdr:to>
      <xdr:col>9</xdr:col>
      <xdr:colOff>432953</xdr:colOff>
      <xdr:row>27</xdr:row>
      <xdr:rowOff>17319</xdr:rowOff>
    </xdr:to>
    <xdr:grpSp>
      <xdr:nvGrpSpPr>
        <xdr:cNvPr id="27" name="Group 26">
          <a:extLst>
            <a:ext uri="{FF2B5EF4-FFF2-40B4-BE49-F238E27FC236}">
              <a16:creationId xmlns:a16="http://schemas.microsoft.com/office/drawing/2014/main" id="{5BDF4480-CA48-4B43-AA95-915396B78F3D}"/>
            </a:ext>
          </a:extLst>
        </xdr:cNvPr>
        <xdr:cNvGrpSpPr/>
      </xdr:nvGrpSpPr>
      <xdr:grpSpPr>
        <a:xfrm>
          <a:off x="1082386" y="3749386"/>
          <a:ext cx="5195454" cy="1411433"/>
          <a:chOff x="1082386" y="3749386"/>
          <a:chExt cx="5195454" cy="1411433"/>
        </a:xfrm>
      </xdr:grpSpPr>
      <xdr:graphicFrame macro="">
        <xdr:nvGraphicFramePr>
          <xdr:cNvPr id="59" name="Chart 58">
            <a:extLst>
              <a:ext uri="{FF2B5EF4-FFF2-40B4-BE49-F238E27FC236}">
                <a16:creationId xmlns:a16="http://schemas.microsoft.com/office/drawing/2014/main" id="{00000000-0008-0000-0A00-00003B000000}"/>
              </a:ext>
            </a:extLst>
          </xdr:cNvPr>
          <xdr:cNvGraphicFramePr>
            <a:graphicFrameLocks/>
          </xdr:cNvGraphicFramePr>
        </xdr:nvGraphicFramePr>
        <xdr:xfrm>
          <a:off x="1082386" y="3896591"/>
          <a:ext cx="2883477" cy="1264228"/>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2" name="Chart 61">
            <a:extLst>
              <a:ext uri="{FF2B5EF4-FFF2-40B4-BE49-F238E27FC236}">
                <a16:creationId xmlns:a16="http://schemas.microsoft.com/office/drawing/2014/main" id="{00000000-0008-0000-0A00-00003E000000}"/>
              </a:ext>
            </a:extLst>
          </xdr:cNvPr>
          <xdr:cNvGraphicFramePr>
            <a:graphicFrameLocks/>
          </xdr:cNvGraphicFramePr>
        </xdr:nvGraphicFramePr>
        <xdr:xfrm>
          <a:off x="4762499" y="3749386"/>
          <a:ext cx="1515341" cy="1307523"/>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24" name="Graphic 23" descr="Male profile with solid fill">
            <a:extLst>
              <a:ext uri="{FF2B5EF4-FFF2-40B4-BE49-F238E27FC236}">
                <a16:creationId xmlns:a16="http://schemas.microsoft.com/office/drawing/2014/main" id="{14F26000-675D-43C2-9F49-D55F19CFB75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043797" y="3905249"/>
            <a:ext cx="914400" cy="1073727"/>
          </a:xfrm>
          <a:prstGeom prst="rect">
            <a:avLst/>
          </a:prstGeom>
        </xdr:spPr>
      </xdr:pic>
      <xdr:pic>
        <xdr:nvPicPr>
          <xdr:cNvPr id="26" name="Graphic 25" descr="Female Profile with solid fill">
            <a:extLst>
              <a:ext uri="{FF2B5EF4-FFF2-40B4-BE49-F238E27FC236}">
                <a16:creationId xmlns:a16="http://schemas.microsoft.com/office/drawing/2014/main" id="{38E1DD55-7BA7-4FCF-BC0E-E27E89E896F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342409" y="3887931"/>
            <a:ext cx="805296" cy="1134341"/>
          </a:xfrm>
          <a:prstGeom prst="rect">
            <a:avLst/>
          </a:prstGeom>
        </xdr:spPr>
      </xdr:pic>
    </xdr:grpSp>
    <xdr:clientData/>
  </xdr:twoCellAnchor>
  <xdr:twoCellAnchor editAs="oneCell">
    <xdr:from>
      <xdr:col>4</xdr:col>
      <xdr:colOff>121227</xdr:colOff>
      <xdr:row>16</xdr:row>
      <xdr:rowOff>86592</xdr:rowOff>
    </xdr:from>
    <xdr:to>
      <xdr:col>7</xdr:col>
      <xdr:colOff>125557</xdr:colOff>
      <xdr:row>19</xdr:row>
      <xdr:rowOff>121228</xdr:rowOff>
    </xdr:to>
    <mc:AlternateContent xmlns:mc="http://schemas.openxmlformats.org/markup-compatibility/2006" xmlns:a14="http://schemas.microsoft.com/office/drawing/2010/main">
      <mc:Choice Requires="a14">
        <xdr:graphicFrame macro="">
          <xdr:nvGraphicFramePr>
            <xdr:cNvPr id="73" name="Gender 3">
              <a:extLst>
                <a:ext uri="{FF2B5EF4-FFF2-40B4-BE49-F238E27FC236}">
                  <a16:creationId xmlns:a16="http://schemas.microsoft.com/office/drawing/2014/main" id="{3C04465B-2705-4D91-916D-560D70D8980A}"/>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718954" y="3134592"/>
              <a:ext cx="1952627" cy="606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424294</xdr:colOff>
      <xdr:row>31</xdr:row>
      <xdr:rowOff>138545</xdr:rowOff>
    </xdr:from>
    <xdr:to>
      <xdr:col>25</xdr:col>
      <xdr:colOff>346363</xdr:colOff>
      <xdr:row>39</xdr:row>
      <xdr:rowOff>34637</xdr:rowOff>
    </xdr:to>
    <mc:AlternateContent xmlns:mc="http://schemas.openxmlformats.org/markup-compatibility/2006">
      <mc:Choice xmlns:a14="http://schemas.microsoft.com/office/drawing/2010/main" Requires="a14">
        <xdr:graphicFrame macro="">
          <xdr:nvGraphicFramePr>
            <xdr:cNvPr id="69" name="Department 1">
              <a:extLst>
                <a:ext uri="{FF2B5EF4-FFF2-40B4-BE49-F238E27FC236}">
                  <a16:creationId xmlns:a16="http://schemas.microsoft.com/office/drawing/2014/main" id="{F8BE1F7D-C6B1-4974-87DB-0E4857EDDBB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361227" y="6044045"/>
              <a:ext cx="1220932" cy="1420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51954</xdr:colOff>
      <xdr:row>31</xdr:row>
      <xdr:rowOff>112568</xdr:rowOff>
    </xdr:from>
    <xdr:to>
      <xdr:col>23</xdr:col>
      <xdr:colOff>458931</xdr:colOff>
      <xdr:row>41</xdr:row>
      <xdr:rowOff>164523</xdr:rowOff>
    </xdr:to>
    <mc:AlternateContent xmlns:mc="http://schemas.openxmlformats.org/markup-compatibility/2006">
      <mc:Choice xmlns:a14="http://schemas.microsoft.com/office/drawing/2010/main" Requires="a14">
        <xdr:graphicFrame macro="">
          <xdr:nvGraphicFramePr>
            <xdr:cNvPr id="70" name="Education Field 3">
              <a:extLst>
                <a:ext uri="{FF2B5EF4-FFF2-40B4-BE49-F238E27FC236}">
                  <a16:creationId xmlns:a16="http://schemas.microsoft.com/office/drawing/2014/main" id="{34088669-A21C-4003-9D44-80D57B0E633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3690023" y="6018068"/>
              <a:ext cx="1705841" cy="1956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190499</xdr:colOff>
      <xdr:row>30</xdr:row>
      <xdr:rowOff>43295</xdr:rowOff>
    </xdr:from>
    <xdr:to>
      <xdr:col>23</xdr:col>
      <xdr:colOff>493567</xdr:colOff>
      <xdr:row>31</xdr:row>
      <xdr:rowOff>164523</xdr:rowOff>
    </xdr:to>
    <xdr:sp macro="" textlink="">
      <xdr:nvSpPr>
        <xdr:cNvPr id="23" name="TextBox 22">
          <a:extLst>
            <a:ext uri="{FF2B5EF4-FFF2-40B4-BE49-F238E27FC236}">
              <a16:creationId xmlns:a16="http://schemas.microsoft.com/office/drawing/2014/main" id="{F5500BBE-5DE4-4E21-AA0E-FE096A7DA828}"/>
            </a:ext>
          </a:extLst>
        </xdr:cNvPr>
        <xdr:cNvSpPr txBox="1"/>
      </xdr:nvSpPr>
      <xdr:spPr>
        <a:xfrm>
          <a:off x="13828568" y="5758295"/>
          <a:ext cx="1601932" cy="31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5">
                  <a:lumMod val="75000"/>
                </a:schemeClr>
              </a:solidFill>
              <a:latin typeface="Arial Black" panose="020B0A04020102020204" pitchFamily="34" charset="0"/>
            </a:rPr>
            <a:t>Education Field</a:t>
          </a:r>
        </a:p>
      </xdr:txBody>
    </xdr:sp>
    <xdr:clientData/>
  </xdr:twoCellAnchor>
  <xdr:twoCellAnchor>
    <xdr:from>
      <xdr:col>23</xdr:col>
      <xdr:colOff>380995</xdr:colOff>
      <xdr:row>30</xdr:row>
      <xdr:rowOff>77933</xdr:rowOff>
    </xdr:from>
    <xdr:to>
      <xdr:col>25</xdr:col>
      <xdr:colOff>398315</xdr:colOff>
      <xdr:row>31</xdr:row>
      <xdr:rowOff>103909</xdr:rowOff>
    </xdr:to>
    <xdr:sp macro="" textlink="">
      <xdr:nvSpPr>
        <xdr:cNvPr id="25" name="TextBox 24">
          <a:extLst>
            <a:ext uri="{FF2B5EF4-FFF2-40B4-BE49-F238E27FC236}">
              <a16:creationId xmlns:a16="http://schemas.microsoft.com/office/drawing/2014/main" id="{21895194-A7C5-4EE6-9505-D303ABD0F87B}"/>
            </a:ext>
          </a:extLst>
        </xdr:cNvPr>
        <xdr:cNvSpPr txBox="1"/>
      </xdr:nvSpPr>
      <xdr:spPr>
        <a:xfrm rot="10800000" flipV="1">
          <a:off x="15317928" y="5792933"/>
          <a:ext cx="1316183" cy="216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5">
                  <a:lumMod val="75000"/>
                </a:schemeClr>
              </a:solidFill>
              <a:latin typeface="Arial Black" panose="020B0A04020102020204" pitchFamily="34" charset="0"/>
            </a:rPr>
            <a:t>Department</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0.51351</cdr:x>
      <cdr:y>0.24657</cdr:y>
    </cdr:from>
    <cdr:to>
      <cdr:x>0.72072</cdr:x>
      <cdr:y>0.63014</cdr:y>
    </cdr:to>
    <cdr:sp macro="" textlink="Gender!$B$8">
      <cdr:nvSpPr>
        <cdr:cNvPr id="2" name="TextBox 1">
          <a:extLst xmlns:a="http://schemas.openxmlformats.org/drawingml/2006/main">
            <a:ext uri="{FF2B5EF4-FFF2-40B4-BE49-F238E27FC236}">
              <a16:creationId xmlns:a16="http://schemas.microsoft.com/office/drawing/2014/main" id="{F5909337-0509-4F2C-96E3-AD6E784BBC70}"/>
            </a:ext>
          </a:extLst>
        </cdr:cNvPr>
        <cdr:cNvSpPr txBox="1"/>
      </cdr:nvSpPr>
      <cdr:spPr>
        <a:xfrm xmlns:a="http://schemas.openxmlformats.org/drawingml/2006/main">
          <a:off x="1480705" y="311727"/>
          <a:ext cx="597477" cy="4849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BD6D4EE-B31B-42DD-AC54-4BE8CF5F16F5}" type="TxLink">
            <a:rPr lang="en-US" sz="1600" b="1" i="0" u="none" strike="noStrike">
              <a:solidFill>
                <a:srgbClr val="002060"/>
              </a:solidFill>
              <a:latin typeface="Arial Black" panose="020B0A04020102020204" pitchFamily="34" charset="0"/>
              <a:ea typeface="Calibri"/>
              <a:cs typeface="Calibri"/>
            </a:rPr>
            <a:pPr/>
            <a:t>115</a:t>
          </a:fld>
          <a:endParaRPr lang="en-IN" sz="1600" b="1">
            <a:solidFill>
              <a:srgbClr val="002060"/>
            </a:solidFill>
            <a:latin typeface="Arial Black" panose="020B0A040201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0.31176</cdr:x>
      <cdr:y>0.24405</cdr:y>
    </cdr:from>
    <cdr:to>
      <cdr:x>1</cdr:x>
      <cdr:y>1</cdr:y>
    </cdr:to>
    <cdr:sp macro="" textlink="">
      <cdr:nvSpPr>
        <cdr:cNvPr id="2" name="TextBox 1">
          <a:extLst xmlns:a="http://schemas.openxmlformats.org/drawingml/2006/main">
            <a:ext uri="{FF2B5EF4-FFF2-40B4-BE49-F238E27FC236}">
              <a16:creationId xmlns:a16="http://schemas.microsoft.com/office/drawing/2014/main" id="{CCCD4754-8C99-4AA8-9EB3-D8C2E70C3D79}"/>
            </a:ext>
          </a:extLst>
        </cdr:cNvPr>
        <cdr:cNvSpPr txBox="1"/>
      </cdr:nvSpPr>
      <cdr:spPr>
        <a:xfrm xmlns:a="http://schemas.openxmlformats.org/drawingml/2006/main">
          <a:off x="458932" y="355024"/>
          <a:ext cx="1013114" cy="109970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0.33143</cdr:x>
      <cdr:y>0.33775</cdr:y>
    </cdr:from>
    <cdr:to>
      <cdr:x>0.66286</cdr:x>
      <cdr:y>0.6755</cdr:y>
    </cdr:to>
    <cdr:sp macro="" textlink="Gender!$B$9">
      <cdr:nvSpPr>
        <cdr:cNvPr id="3" name="TextBox 2">
          <a:extLst xmlns:a="http://schemas.openxmlformats.org/drawingml/2006/main">
            <a:ext uri="{FF2B5EF4-FFF2-40B4-BE49-F238E27FC236}">
              <a16:creationId xmlns:a16="http://schemas.microsoft.com/office/drawing/2014/main" id="{49786D54-BD9A-4462-A3C0-A777D9AD0F1F}"/>
            </a:ext>
          </a:extLst>
        </cdr:cNvPr>
        <cdr:cNvSpPr txBox="1"/>
      </cdr:nvSpPr>
      <cdr:spPr>
        <a:xfrm xmlns:a="http://schemas.openxmlformats.org/drawingml/2006/main">
          <a:off x="502228" y="441614"/>
          <a:ext cx="502228" cy="4416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DCA51A7-8613-47B4-B1F1-1C5ABCD53D2C}" type="TxLink">
            <a:rPr lang="en-US" sz="1600" b="0" i="0" u="none" strike="noStrike">
              <a:solidFill>
                <a:srgbClr val="002060"/>
              </a:solidFill>
              <a:latin typeface="Arial Black" panose="020B0A04020102020204" pitchFamily="34" charset="0"/>
              <a:ea typeface="Calibri"/>
              <a:cs typeface="Calibri"/>
            </a:rPr>
            <a:pPr/>
            <a:t>184</a:t>
          </a:fld>
          <a:endParaRPr lang="en-IN" sz="1600">
            <a:solidFill>
              <a:srgbClr val="002060"/>
            </a:solidFill>
            <a:latin typeface="Arial Black" panose="020B0A040201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B00-000002000000}"/>
            </a:ext>
          </a:extLst>
        </xdr:cNvPr>
        <xdr:cNvGrpSpPr/>
      </xdr:nvGrpSpPr>
      <xdr:grpSpPr>
        <a:xfrm>
          <a:off x="1042988"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B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B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B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B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B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B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B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B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B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B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B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B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B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B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B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B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B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B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B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B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B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B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B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B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B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B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8.64397060185" createdVersion="5" refreshedVersion="5" minRefreshableVersion="3" recordCount="299" xr:uid="{00000000-000A-0000-FFFF-FFFF0400000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407"/>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59"/>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3" maxValue="1496"/>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102" maxValue="19999"/>
    </cacheField>
    <cacheField name="Monthly Rate" numFmtId="0">
      <sharedItems containsSemiMixedTypes="0" containsString="0" containsNumber="1" containsInteger="1" minValue="2094" maxValue="2695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636903472223" createdVersion="5" refreshedVersion="5" minRefreshableVersion="3" recordCount="1471" xr:uid="{00000000-000A-0000-FFFF-FFFF01000000}">
  <cacheSource type="worksheet">
    <worksheetSource ref="A1:AR1048576" sheet="Data"/>
  </cacheSource>
  <cacheFields count="44">
    <cacheField name="Attrition" numFmtId="0">
      <sharedItems containsBlank="1"/>
    </cacheField>
    <cacheField name="Business Travel" numFmtId="0">
      <sharedItems containsBlank="1"/>
    </cacheField>
    <cacheField name="CF_age band" numFmtId="0">
      <sharedItems containsBlank="1"/>
    </cacheField>
    <cacheField name="CF_attrition label" numFmtId="0">
      <sharedItems containsBlank="1"/>
    </cacheField>
    <cacheField name="Department" numFmtId="0">
      <sharedItems containsBlank="1"/>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407"/>
    </cacheField>
    <cacheField name="Gender" numFmtId="0">
      <sharedItems containsBlank="1" count="3">
        <s v="Female"/>
        <s v="Male"/>
        <m/>
      </sharedItems>
    </cacheField>
    <cacheField name="Job Role" numFmtId="0">
      <sharedItems containsBlank="1"/>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59"/>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3" maxValue="1496"/>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ount="5">
        <n v="4"/>
        <n v="2"/>
        <n v="3"/>
        <n v="1"/>
        <m/>
      </sharedItems>
    </cacheField>
    <cacheField name="Monthly Income" numFmtId="0">
      <sharedItems containsString="0" containsBlank="1" containsNumber="1" containsInteger="1" minValue="1102" maxValue="19999"/>
    </cacheField>
    <cacheField name="Monthly Rate" numFmtId="0">
      <sharedItems containsString="0" containsBlank="1" containsNumber="1" containsInteger="1" minValue="2094" maxValue="2695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99">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pivotCacheRecords>
</file>

<file path=xl/pivotCache/pivotCacheRecords2.xml><?xml version="1.0" encoding="utf-8"?>
<pivotCacheRecords xmlns="http://schemas.openxmlformats.org/spreadsheetml/2006/main" xmlns:r="http://schemas.openxmlformats.org/officeDocument/2006/relationships" count="1471">
  <r>
    <s v="Yes"/>
    <s v="Travel_Rarely"/>
    <s v="35 - 44"/>
    <s v="Ex-Employees"/>
    <s v="Sales"/>
    <x v="0"/>
    <s v="STAFF-1"/>
    <n v="1"/>
    <x v="0"/>
    <s v="Sales Executive"/>
    <s v="Single"/>
    <s v="Yes"/>
    <s v="Y"/>
    <n v="0"/>
    <n v="-2"/>
    <n v="0"/>
    <n v="41"/>
    <n v="1"/>
    <n v="1"/>
    <n v="1"/>
    <n v="0"/>
    <n v="1102"/>
    <n v="1"/>
    <s v="Associates Degree"/>
    <n v="1"/>
    <n v="2"/>
    <n v="94"/>
    <n v="3"/>
    <n v="2"/>
    <x v="0"/>
    <n v="5993"/>
    <n v="19479"/>
    <n v="8"/>
    <n v="11"/>
    <n v="3"/>
    <n v="1"/>
    <n v="80"/>
    <n v="0"/>
    <n v="8"/>
    <n v="1"/>
    <n v="6"/>
    <n v="4"/>
    <n v="0"/>
    <n v="5"/>
  </r>
  <r>
    <s v="No"/>
    <s v="Travel_Frequently"/>
    <s v="45 - 54"/>
    <s v="Current Employees"/>
    <s v="R&amp;D"/>
    <x v="0"/>
    <s v="STAFF-2"/>
    <n v="2"/>
    <x v="1"/>
    <s v="Research Scientist"/>
    <s v="Married"/>
    <s v="No"/>
    <s v="Y"/>
    <n v="3"/>
    <n v="-2"/>
    <n v="0"/>
    <n v="49"/>
    <n v="0"/>
    <m/>
    <n v="0"/>
    <n v="1"/>
    <n v="279"/>
    <n v="8"/>
    <s v="High School"/>
    <n v="1"/>
    <n v="3"/>
    <n v="61"/>
    <n v="2"/>
    <n v="2"/>
    <x v="1"/>
    <n v="5130"/>
    <n v="24907"/>
    <n v="1"/>
    <n v="23"/>
    <n v="4"/>
    <n v="4"/>
    <n v="80"/>
    <n v="1"/>
    <n v="10"/>
    <n v="3"/>
    <n v="10"/>
    <n v="7"/>
    <n v="1"/>
    <n v="7"/>
  </r>
  <r>
    <s v="Yes"/>
    <s v="Travel_Rarely"/>
    <s v="35 - 44"/>
    <s v="Ex-Employees"/>
    <s v="R&amp;D"/>
    <x v="1"/>
    <s v="STAFF-4"/>
    <n v="4"/>
    <x v="1"/>
    <s v="Laboratory Technician"/>
    <s v="Single"/>
    <s v="Yes"/>
    <s v="Y"/>
    <n v="3"/>
    <n v="-2"/>
    <n v="0"/>
    <n v="37"/>
    <n v="1"/>
    <n v="1"/>
    <n v="1"/>
    <n v="0"/>
    <n v="1373"/>
    <n v="2"/>
    <s v="Associates Degree"/>
    <n v="1"/>
    <n v="4"/>
    <n v="92"/>
    <n v="2"/>
    <n v="1"/>
    <x v="2"/>
    <n v="2090"/>
    <n v="2396"/>
    <n v="6"/>
    <n v="15"/>
    <n v="3"/>
    <n v="2"/>
    <n v="80"/>
    <n v="0"/>
    <n v="7"/>
    <n v="3"/>
    <n v="0"/>
    <n v="0"/>
    <n v="0"/>
    <n v="0"/>
  </r>
  <r>
    <s v="No"/>
    <s v="Travel_Frequently"/>
    <s v="25 - 34"/>
    <s v="Current Employees"/>
    <s v="R&amp;D"/>
    <x v="0"/>
    <s v="STAFF-5"/>
    <n v="5"/>
    <x v="0"/>
    <s v="Research Scientist"/>
    <s v="Married"/>
    <s v="Yes"/>
    <s v="Y"/>
    <n v="3"/>
    <n v="-2"/>
    <n v="0"/>
    <n v="33"/>
    <n v="0"/>
    <m/>
    <n v="0"/>
    <n v="1"/>
    <n v="1392"/>
    <n v="3"/>
    <s v="Master's Degree"/>
    <n v="1"/>
    <n v="4"/>
    <n v="56"/>
    <n v="3"/>
    <n v="1"/>
    <x v="2"/>
    <n v="2909"/>
    <n v="23159"/>
    <n v="1"/>
    <n v="11"/>
    <n v="3"/>
    <n v="3"/>
    <n v="80"/>
    <n v="0"/>
    <n v="8"/>
    <n v="3"/>
    <n v="8"/>
    <n v="7"/>
    <n v="3"/>
    <n v="0"/>
  </r>
  <r>
    <s v="No"/>
    <s v="Travel_Rarely"/>
    <s v="25 - 34"/>
    <s v="Current Employees"/>
    <s v="R&amp;D"/>
    <x v="2"/>
    <s v="STAFF-7"/>
    <n v="7"/>
    <x v="1"/>
    <s v="Laboratory Technician"/>
    <s v="Married"/>
    <s v="No"/>
    <s v="Y"/>
    <n v="3"/>
    <n v="-2"/>
    <n v="0"/>
    <n v="27"/>
    <n v="0"/>
    <m/>
    <n v="0"/>
    <n v="1"/>
    <n v="591"/>
    <n v="2"/>
    <s v="High School"/>
    <n v="1"/>
    <n v="1"/>
    <n v="40"/>
    <n v="3"/>
    <n v="1"/>
    <x v="1"/>
    <n v="3468"/>
    <n v="16632"/>
    <n v="9"/>
    <n v="12"/>
    <n v="3"/>
    <n v="4"/>
    <n v="80"/>
    <n v="1"/>
    <n v="6"/>
    <n v="3"/>
    <n v="2"/>
    <n v="2"/>
    <n v="2"/>
    <n v="2"/>
  </r>
  <r>
    <s v="No"/>
    <s v="Travel_Frequently"/>
    <s v="25 - 34"/>
    <s v="Current Employees"/>
    <s v="R&amp;D"/>
    <x v="0"/>
    <s v="STAFF-8"/>
    <n v="8"/>
    <x v="1"/>
    <s v="Laboratory Technician"/>
    <s v="Single"/>
    <s v="No"/>
    <s v="Y"/>
    <n v="2"/>
    <n v="-2"/>
    <n v="0"/>
    <n v="32"/>
    <n v="0"/>
    <m/>
    <n v="0"/>
    <n v="1"/>
    <n v="1005"/>
    <n v="2"/>
    <s v="Associates Degree"/>
    <n v="1"/>
    <n v="4"/>
    <n v="79"/>
    <n v="3"/>
    <n v="1"/>
    <x v="1"/>
    <n v="3068"/>
    <n v="11864"/>
    <n v="0"/>
    <n v="13"/>
    <n v="3"/>
    <n v="3"/>
    <n v="80"/>
    <n v="0"/>
    <n v="8"/>
    <n v="2"/>
    <n v="7"/>
    <n v="7"/>
    <n v="3"/>
    <n v="6"/>
  </r>
  <r>
    <s v="No"/>
    <s v="Travel_Rarely"/>
    <s v="Over 55"/>
    <s v="Current Employees"/>
    <s v="R&amp;D"/>
    <x v="2"/>
    <s v="STAFF-10"/>
    <n v="10"/>
    <x v="0"/>
    <s v="Laboratory Technician"/>
    <s v="Married"/>
    <s v="Yes"/>
    <s v="Y"/>
    <n v="3"/>
    <n v="-2"/>
    <n v="0"/>
    <n v="59"/>
    <n v="0"/>
    <m/>
    <n v="0"/>
    <n v="1"/>
    <n v="1324"/>
    <n v="3"/>
    <s v="Bachelor's Degree"/>
    <n v="1"/>
    <n v="3"/>
    <n v="81"/>
    <n v="4"/>
    <n v="1"/>
    <x v="0"/>
    <n v="2670"/>
    <n v="9964"/>
    <n v="4"/>
    <n v="20"/>
    <n v="4"/>
    <n v="1"/>
    <n v="80"/>
    <n v="3"/>
    <n v="12"/>
    <n v="2"/>
    <n v="1"/>
    <n v="0"/>
    <n v="0"/>
    <n v="0"/>
  </r>
  <r>
    <s v="No"/>
    <s v="Travel_Rarely"/>
    <s v="25 - 34"/>
    <s v="Current Employees"/>
    <s v="R&amp;D"/>
    <x v="0"/>
    <s v="STAFF-11"/>
    <n v="11"/>
    <x v="1"/>
    <s v="Laboratory Technician"/>
    <s v="Divorced"/>
    <s v="No"/>
    <s v="Y"/>
    <n v="2"/>
    <n v="-2"/>
    <n v="0"/>
    <n v="30"/>
    <n v="0"/>
    <m/>
    <n v="0"/>
    <n v="1"/>
    <n v="1358"/>
    <n v="24"/>
    <s v="High School"/>
    <n v="1"/>
    <n v="4"/>
    <n v="67"/>
    <n v="3"/>
    <n v="1"/>
    <x v="1"/>
    <n v="2693"/>
    <n v="13335"/>
    <n v="1"/>
    <n v="22"/>
    <n v="4"/>
    <n v="2"/>
    <n v="80"/>
    <n v="1"/>
    <n v="1"/>
    <n v="3"/>
    <n v="1"/>
    <n v="0"/>
    <n v="0"/>
    <n v="0"/>
  </r>
  <r>
    <s v="No"/>
    <s v="Travel_Frequently"/>
    <s v="35 - 44"/>
    <s v="Current Employees"/>
    <s v="R&amp;D"/>
    <x v="0"/>
    <s v="STAFF-12"/>
    <n v="12"/>
    <x v="1"/>
    <s v="Manufacturing Director"/>
    <s v="Single"/>
    <s v="No"/>
    <s v="Y"/>
    <n v="2"/>
    <n v="-2"/>
    <n v="0"/>
    <n v="38"/>
    <n v="0"/>
    <m/>
    <n v="0"/>
    <n v="1"/>
    <n v="216"/>
    <n v="23"/>
    <s v="Bachelor's Degree"/>
    <n v="1"/>
    <n v="4"/>
    <n v="44"/>
    <n v="2"/>
    <n v="3"/>
    <x v="1"/>
    <n v="9526"/>
    <n v="8787"/>
    <n v="0"/>
    <n v="21"/>
    <n v="4"/>
    <n v="2"/>
    <n v="80"/>
    <n v="0"/>
    <n v="10"/>
    <n v="3"/>
    <n v="9"/>
    <n v="7"/>
    <n v="1"/>
    <n v="8"/>
  </r>
  <r>
    <s v="No"/>
    <s v="Travel_Rarely"/>
    <s v="35 - 44"/>
    <s v="Current Employees"/>
    <s v="R&amp;D"/>
    <x v="2"/>
    <s v="STAFF-13"/>
    <n v="13"/>
    <x v="1"/>
    <s v="Healthcare Representative"/>
    <s v="Married"/>
    <s v="No"/>
    <s v="Y"/>
    <n v="3"/>
    <n v="-2"/>
    <n v="0"/>
    <n v="36"/>
    <n v="0"/>
    <m/>
    <n v="0"/>
    <n v="1"/>
    <n v="1299"/>
    <n v="27"/>
    <s v="Bachelor's Degree"/>
    <n v="1"/>
    <n v="3"/>
    <n v="94"/>
    <n v="3"/>
    <n v="2"/>
    <x v="2"/>
    <n v="5237"/>
    <n v="16577"/>
    <n v="6"/>
    <n v="13"/>
    <n v="3"/>
    <n v="2"/>
    <n v="80"/>
    <n v="2"/>
    <n v="17"/>
    <n v="2"/>
    <n v="7"/>
    <n v="7"/>
    <n v="7"/>
    <n v="7"/>
  </r>
  <r>
    <s v="No"/>
    <s v="Travel_Rarely"/>
    <s v="35 - 44"/>
    <s v="Current Employees"/>
    <s v="R&amp;D"/>
    <x v="2"/>
    <s v="STAFF-14"/>
    <n v="14"/>
    <x v="1"/>
    <s v="Laboratory Technician"/>
    <s v="Married"/>
    <s v="No"/>
    <s v="Y"/>
    <n v="5"/>
    <n v="-2"/>
    <n v="0"/>
    <n v="35"/>
    <n v="0"/>
    <m/>
    <n v="0"/>
    <n v="1"/>
    <n v="809"/>
    <n v="16"/>
    <s v="Bachelor's Degree"/>
    <n v="1"/>
    <n v="1"/>
    <n v="84"/>
    <n v="4"/>
    <n v="1"/>
    <x v="1"/>
    <n v="2426"/>
    <n v="16479"/>
    <n v="0"/>
    <n v="13"/>
    <n v="3"/>
    <n v="3"/>
    <n v="80"/>
    <n v="1"/>
    <n v="6"/>
    <n v="3"/>
    <n v="5"/>
    <n v="4"/>
    <n v="0"/>
    <n v="3"/>
  </r>
  <r>
    <s v="No"/>
    <s v="Travel_Rarely"/>
    <s v="25 - 34"/>
    <s v="Current Employees"/>
    <s v="R&amp;D"/>
    <x v="0"/>
    <s v="STAFF-15"/>
    <n v="15"/>
    <x v="0"/>
    <s v="Laboratory Technician"/>
    <s v="Single"/>
    <s v="Yes"/>
    <s v="Y"/>
    <n v="3"/>
    <n v="-2"/>
    <n v="0"/>
    <n v="29"/>
    <n v="0"/>
    <m/>
    <n v="0"/>
    <n v="1"/>
    <n v="153"/>
    <n v="15"/>
    <s v="Associates Degree"/>
    <n v="1"/>
    <n v="4"/>
    <n v="49"/>
    <n v="2"/>
    <n v="2"/>
    <x v="1"/>
    <n v="4193"/>
    <n v="12682"/>
    <n v="0"/>
    <n v="12"/>
    <n v="3"/>
    <n v="4"/>
    <n v="80"/>
    <n v="0"/>
    <n v="10"/>
    <n v="3"/>
    <n v="9"/>
    <n v="5"/>
    <n v="0"/>
    <n v="8"/>
  </r>
  <r>
    <s v="No"/>
    <s v="Travel_Rarely"/>
    <s v="25 - 34"/>
    <s v="Current Employees"/>
    <s v="R&amp;D"/>
    <x v="0"/>
    <s v="STAFF-16"/>
    <n v="16"/>
    <x v="1"/>
    <s v="Research Scientist"/>
    <s v="Divorced"/>
    <s v="No"/>
    <s v="Y"/>
    <n v="1"/>
    <n v="-2"/>
    <n v="0"/>
    <n v="31"/>
    <n v="0"/>
    <m/>
    <n v="0"/>
    <n v="1"/>
    <n v="670"/>
    <n v="26"/>
    <s v="High School"/>
    <n v="1"/>
    <n v="1"/>
    <n v="31"/>
    <n v="3"/>
    <n v="1"/>
    <x v="1"/>
    <n v="2911"/>
    <n v="15170"/>
    <n v="1"/>
    <n v="17"/>
    <n v="3"/>
    <n v="4"/>
    <n v="80"/>
    <n v="1"/>
    <n v="5"/>
    <n v="2"/>
    <n v="5"/>
    <n v="2"/>
    <n v="4"/>
    <n v="3"/>
  </r>
  <r>
    <s v="No"/>
    <s v="Travel_Rarely"/>
    <s v="25 - 34"/>
    <s v="Current Employees"/>
    <s v="R&amp;D"/>
    <x v="2"/>
    <s v="STAFF-18"/>
    <n v="18"/>
    <x v="1"/>
    <s v="Laboratory Technician"/>
    <s v="Divorced"/>
    <s v="No"/>
    <s v="Y"/>
    <n v="2"/>
    <n v="-2"/>
    <n v="0"/>
    <n v="34"/>
    <n v="0"/>
    <m/>
    <n v="0"/>
    <n v="1"/>
    <n v="1346"/>
    <n v="19"/>
    <s v="Associates Degree"/>
    <n v="1"/>
    <n v="2"/>
    <n v="93"/>
    <n v="3"/>
    <n v="1"/>
    <x v="0"/>
    <n v="2661"/>
    <n v="8758"/>
    <n v="0"/>
    <n v="11"/>
    <n v="3"/>
    <n v="3"/>
    <n v="80"/>
    <n v="1"/>
    <n v="3"/>
    <n v="3"/>
    <n v="2"/>
    <n v="2"/>
    <n v="1"/>
    <n v="2"/>
  </r>
  <r>
    <s v="Yes"/>
    <s v="Travel_Rarely"/>
    <s v="25 - 34"/>
    <s v="Ex-Employees"/>
    <s v="R&amp;D"/>
    <x v="0"/>
    <s v="STAFF-19"/>
    <n v="19"/>
    <x v="1"/>
    <s v="Laboratory Technician"/>
    <s v="Single"/>
    <s v="Yes"/>
    <s v="Y"/>
    <n v="4"/>
    <n v="-2"/>
    <n v="0"/>
    <n v="28"/>
    <n v="1"/>
    <n v="1"/>
    <n v="1"/>
    <n v="0"/>
    <n v="103"/>
    <n v="24"/>
    <s v="Bachelor's Degree"/>
    <n v="1"/>
    <n v="3"/>
    <n v="50"/>
    <n v="2"/>
    <n v="1"/>
    <x v="1"/>
    <n v="2028"/>
    <n v="12947"/>
    <n v="5"/>
    <n v="14"/>
    <n v="3"/>
    <n v="2"/>
    <n v="80"/>
    <n v="0"/>
    <n v="6"/>
    <n v="3"/>
    <n v="4"/>
    <n v="2"/>
    <n v="0"/>
    <n v="3"/>
  </r>
  <r>
    <s v="No"/>
    <s v="Travel_Rarely"/>
    <s v="25 - 34"/>
    <s v="Current Employees"/>
    <s v="R&amp;D"/>
    <x v="0"/>
    <s v="STAFF-20"/>
    <n v="20"/>
    <x v="0"/>
    <s v="Manufacturing Director"/>
    <s v="Divorced"/>
    <s v="No"/>
    <s v="Y"/>
    <n v="1"/>
    <n v="-2"/>
    <n v="0"/>
    <n v="29"/>
    <n v="0"/>
    <m/>
    <n v="0"/>
    <n v="1"/>
    <n v="1389"/>
    <n v="21"/>
    <s v="Master's Degree"/>
    <n v="1"/>
    <n v="2"/>
    <n v="51"/>
    <n v="4"/>
    <n v="3"/>
    <x v="1"/>
    <n v="9980"/>
    <n v="10195"/>
    <n v="1"/>
    <n v="11"/>
    <n v="3"/>
    <n v="3"/>
    <n v="80"/>
    <n v="1"/>
    <n v="10"/>
    <n v="3"/>
    <n v="10"/>
    <n v="9"/>
    <n v="8"/>
    <n v="8"/>
  </r>
  <r>
    <s v="No"/>
    <s v="Travel_Rarely"/>
    <s v="25 - 34"/>
    <s v="Current Employees"/>
    <s v="R&amp;D"/>
    <x v="0"/>
    <s v="STAFF-21"/>
    <n v="21"/>
    <x v="1"/>
    <s v="Research Scientist"/>
    <s v="Divorced"/>
    <s v="Yes"/>
    <s v="Y"/>
    <n v="5"/>
    <n v="-2"/>
    <n v="0"/>
    <n v="32"/>
    <n v="0"/>
    <m/>
    <n v="0"/>
    <n v="1"/>
    <n v="334"/>
    <n v="5"/>
    <s v="Associates Degree"/>
    <n v="1"/>
    <n v="1"/>
    <n v="80"/>
    <n v="4"/>
    <n v="1"/>
    <x v="1"/>
    <n v="3298"/>
    <n v="15053"/>
    <n v="0"/>
    <n v="12"/>
    <n v="3"/>
    <n v="4"/>
    <n v="80"/>
    <n v="2"/>
    <n v="7"/>
    <n v="2"/>
    <n v="6"/>
    <n v="2"/>
    <n v="0"/>
    <n v="5"/>
  </r>
  <r>
    <s v="No"/>
    <s v="Non-Travel"/>
    <s v="Under 25"/>
    <s v="Current Employees"/>
    <s v="R&amp;D"/>
    <x v="2"/>
    <s v="STAFF-22"/>
    <n v="22"/>
    <x v="1"/>
    <s v="Laboratory Technician"/>
    <s v="Divorced"/>
    <s v="Yes"/>
    <s v="Y"/>
    <n v="2"/>
    <n v="-2"/>
    <n v="0"/>
    <n v="22"/>
    <n v="0"/>
    <m/>
    <n v="0"/>
    <n v="1"/>
    <n v="1123"/>
    <n v="16"/>
    <s v="Associates Degree"/>
    <n v="1"/>
    <n v="4"/>
    <n v="96"/>
    <n v="4"/>
    <n v="1"/>
    <x v="0"/>
    <n v="2935"/>
    <n v="7324"/>
    <n v="1"/>
    <n v="13"/>
    <n v="3"/>
    <n v="2"/>
    <n v="80"/>
    <n v="2"/>
    <n v="1"/>
    <n v="2"/>
    <n v="1"/>
    <n v="0"/>
    <n v="0"/>
    <n v="0"/>
  </r>
  <r>
    <s v="No"/>
    <s v="Travel_Rarely"/>
    <s v="45 - 54"/>
    <s v="Current Employees"/>
    <s v="Sales"/>
    <x v="0"/>
    <s v="STAFF-23"/>
    <n v="23"/>
    <x v="0"/>
    <s v="Manager"/>
    <s v="Married"/>
    <s v="No"/>
    <s v="Y"/>
    <n v="3"/>
    <n v="-2"/>
    <n v="0"/>
    <n v="53"/>
    <n v="0"/>
    <m/>
    <n v="0"/>
    <n v="1"/>
    <n v="1219"/>
    <n v="2"/>
    <s v="Master's Degree"/>
    <n v="1"/>
    <n v="1"/>
    <n v="78"/>
    <n v="2"/>
    <n v="4"/>
    <x v="1"/>
    <n v="15427"/>
    <n v="22021"/>
    <n v="2"/>
    <n v="16"/>
    <n v="3"/>
    <n v="3"/>
    <n v="80"/>
    <n v="0"/>
    <n v="31"/>
    <n v="3"/>
    <n v="25"/>
    <n v="8"/>
    <n v="3"/>
    <n v="7"/>
  </r>
  <r>
    <s v="No"/>
    <s v="Travel_Rarely"/>
    <s v="35 - 44"/>
    <s v="Current Employees"/>
    <s v="R&amp;D"/>
    <x v="0"/>
    <s v="STAFF-24"/>
    <n v="24"/>
    <x v="1"/>
    <s v="Research Scientist"/>
    <s v="Single"/>
    <s v="Yes"/>
    <s v="Y"/>
    <n v="3"/>
    <n v="-2"/>
    <n v="0"/>
    <n v="38"/>
    <n v="0"/>
    <m/>
    <n v="0"/>
    <n v="1"/>
    <n v="371"/>
    <n v="2"/>
    <s v="Bachelor's Degree"/>
    <n v="1"/>
    <n v="4"/>
    <n v="45"/>
    <n v="3"/>
    <n v="1"/>
    <x v="1"/>
    <n v="3944"/>
    <n v="4306"/>
    <n v="5"/>
    <n v="11"/>
    <n v="3"/>
    <n v="3"/>
    <n v="80"/>
    <n v="0"/>
    <n v="6"/>
    <n v="3"/>
    <n v="3"/>
    <n v="2"/>
    <n v="1"/>
    <n v="2"/>
  </r>
  <r>
    <s v="No"/>
    <s v="Non-Travel"/>
    <s v="Under 25"/>
    <s v="Current Employees"/>
    <s v="R&amp;D"/>
    <x v="1"/>
    <s v="STAFF-26"/>
    <n v="26"/>
    <x v="0"/>
    <s v="Manufacturing Director"/>
    <s v="Divorced"/>
    <s v="No"/>
    <s v="Y"/>
    <n v="5"/>
    <n v="-2"/>
    <n v="0"/>
    <n v="24"/>
    <n v="0"/>
    <m/>
    <n v="0"/>
    <n v="1"/>
    <n v="673"/>
    <n v="11"/>
    <s v="Associates Degree"/>
    <n v="1"/>
    <n v="1"/>
    <n v="96"/>
    <n v="4"/>
    <n v="2"/>
    <x v="2"/>
    <n v="4011"/>
    <n v="8232"/>
    <n v="0"/>
    <n v="18"/>
    <n v="3"/>
    <n v="4"/>
    <n v="80"/>
    <n v="1"/>
    <n v="5"/>
    <n v="2"/>
    <n v="4"/>
    <n v="2"/>
    <n v="1"/>
    <n v="3"/>
  </r>
  <r>
    <s v="Yes"/>
    <s v="Travel_Rarely"/>
    <s v="35 - 44"/>
    <s v="Ex-Employees"/>
    <s v="Sales"/>
    <x v="0"/>
    <s v="STAFF-27"/>
    <n v="27"/>
    <x v="1"/>
    <s v="Sales Representative"/>
    <s v="Single"/>
    <s v="No"/>
    <s v="Y"/>
    <n v="4"/>
    <n v="-2"/>
    <n v="0"/>
    <n v="36"/>
    <n v="1"/>
    <n v="1"/>
    <n v="1"/>
    <n v="0"/>
    <n v="1218"/>
    <n v="9"/>
    <s v="Master's Degree"/>
    <n v="1"/>
    <n v="3"/>
    <n v="82"/>
    <n v="2"/>
    <n v="1"/>
    <x v="1"/>
    <n v="3407"/>
    <n v="6986"/>
    <n v="7"/>
    <n v="23"/>
    <n v="4"/>
    <n v="2"/>
    <n v="80"/>
    <n v="0"/>
    <n v="10"/>
    <n v="3"/>
    <n v="5"/>
    <n v="3"/>
    <n v="0"/>
    <n v="3"/>
  </r>
  <r>
    <s v="No"/>
    <s v="Travel_Rarely"/>
    <s v="25 - 34"/>
    <s v="Current Employees"/>
    <s v="R&amp;D"/>
    <x v="0"/>
    <s v="STAFF-28"/>
    <n v="28"/>
    <x v="0"/>
    <s v="Research Director"/>
    <s v="Single"/>
    <s v="No"/>
    <s v="Y"/>
    <n v="4"/>
    <n v="-2"/>
    <n v="0"/>
    <n v="34"/>
    <n v="0"/>
    <m/>
    <n v="0"/>
    <n v="1"/>
    <n v="419"/>
    <n v="7"/>
    <s v="Master's Degree"/>
    <n v="1"/>
    <n v="1"/>
    <n v="53"/>
    <n v="3"/>
    <n v="3"/>
    <x v="1"/>
    <n v="11994"/>
    <n v="21293"/>
    <n v="0"/>
    <n v="11"/>
    <n v="3"/>
    <n v="3"/>
    <n v="80"/>
    <n v="0"/>
    <n v="13"/>
    <n v="3"/>
    <n v="12"/>
    <n v="6"/>
    <n v="2"/>
    <n v="11"/>
  </r>
  <r>
    <s v="No"/>
    <s v="Travel_Rarely"/>
    <s v="Under 25"/>
    <s v="Current Employees"/>
    <s v="R&amp;D"/>
    <x v="0"/>
    <s v="STAFF-30"/>
    <n v="30"/>
    <x v="1"/>
    <s v="Research Scientist"/>
    <s v="Single"/>
    <s v="No"/>
    <s v="Y"/>
    <n v="6"/>
    <n v="-2"/>
    <n v="0"/>
    <n v="21"/>
    <n v="0"/>
    <m/>
    <n v="0"/>
    <n v="1"/>
    <n v="391"/>
    <n v="15"/>
    <s v="Associates Degree"/>
    <n v="1"/>
    <n v="3"/>
    <n v="96"/>
    <n v="3"/>
    <n v="1"/>
    <x v="1"/>
    <n v="1232"/>
    <n v="19281"/>
    <n v="1"/>
    <n v="14"/>
    <n v="3"/>
    <n v="4"/>
    <n v="80"/>
    <n v="0"/>
    <n v="0"/>
    <n v="3"/>
    <n v="0"/>
    <n v="0"/>
    <n v="0"/>
    <n v="0"/>
  </r>
  <r>
    <s v="Yes"/>
    <s v="Travel_Rarely"/>
    <s v="25 - 34"/>
    <s v="Ex-Employees"/>
    <s v="R&amp;D"/>
    <x v="2"/>
    <s v="STAFF-31"/>
    <n v="31"/>
    <x v="1"/>
    <s v="Research Scientist"/>
    <s v="Single"/>
    <s v="No"/>
    <s v="Y"/>
    <n v="2"/>
    <n v="-2"/>
    <n v="0"/>
    <n v="34"/>
    <n v="1"/>
    <n v="1"/>
    <n v="1"/>
    <n v="0"/>
    <n v="699"/>
    <n v="6"/>
    <s v="High School"/>
    <n v="1"/>
    <n v="2"/>
    <n v="83"/>
    <n v="3"/>
    <n v="1"/>
    <x v="0"/>
    <n v="2960"/>
    <n v="17102"/>
    <n v="2"/>
    <n v="11"/>
    <n v="3"/>
    <n v="3"/>
    <n v="80"/>
    <n v="0"/>
    <n v="8"/>
    <n v="3"/>
    <n v="4"/>
    <n v="2"/>
    <n v="1"/>
    <n v="3"/>
  </r>
  <r>
    <s v="No"/>
    <s v="Travel_Rarely"/>
    <s v="45 - 54"/>
    <s v="Current Employees"/>
    <s v="R&amp;D"/>
    <x v="1"/>
    <s v="STAFF-32"/>
    <n v="32"/>
    <x v="0"/>
    <s v="Manager"/>
    <s v="Divorced"/>
    <s v="No"/>
    <s v="Y"/>
    <n v="3"/>
    <n v="-2"/>
    <n v="0"/>
    <n v="53"/>
    <n v="0"/>
    <m/>
    <n v="0"/>
    <n v="1"/>
    <n v="1282"/>
    <n v="5"/>
    <s v="Bachelor's Degree"/>
    <n v="1"/>
    <n v="3"/>
    <n v="58"/>
    <n v="3"/>
    <n v="5"/>
    <x v="2"/>
    <n v="19094"/>
    <n v="10735"/>
    <n v="4"/>
    <n v="11"/>
    <n v="3"/>
    <n v="4"/>
    <n v="80"/>
    <n v="1"/>
    <n v="26"/>
    <n v="2"/>
    <n v="14"/>
    <n v="13"/>
    <n v="4"/>
    <n v="8"/>
  </r>
  <r>
    <s v="Yes"/>
    <s v="Travel_Frequently"/>
    <s v="25 - 34"/>
    <s v="Ex-Employees"/>
    <s v="R&amp;D"/>
    <x v="0"/>
    <s v="STAFF-33"/>
    <n v="33"/>
    <x v="0"/>
    <s v="Research Scientist"/>
    <s v="Single"/>
    <s v="Yes"/>
    <s v="Y"/>
    <n v="5"/>
    <n v="-2"/>
    <n v="0"/>
    <n v="32"/>
    <n v="1"/>
    <n v="1"/>
    <n v="1"/>
    <n v="0"/>
    <n v="1125"/>
    <n v="16"/>
    <s v="High School"/>
    <n v="1"/>
    <n v="2"/>
    <n v="72"/>
    <n v="1"/>
    <n v="1"/>
    <x v="1"/>
    <n v="3919"/>
    <n v="4681"/>
    <n v="1"/>
    <n v="22"/>
    <n v="4"/>
    <n v="2"/>
    <n v="80"/>
    <n v="0"/>
    <n v="10"/>
    <n v="3"/>
    <n v="10"/>
    <n v="2"/>
    <n v="6"/>
    <n v="7"/>
  </r>
  <r>
    <s v="No"/>
    <s v="Travel_Rarely"/>
    <s v="35 - 44"/>
    <s v="Current Employees"/>
    <s v="Sales"/>
    <x v="3"/>
    <s v="STAFF-35"/>
    <n v="35"/>
    <x v="1"/>
    <s v="Sales Executive"/>
    <s v="Married"/>
    <s v="No"/>
    <s v="Y"/>
    <n v="2"/>
    <n v="-2"/>
    <n v="0"/>
    <n v="42"/>
    <n v="0"/>
    <m/>
    <n v="0"/>
    <n v="1"/>
    <n v="691"/>
    <n v="8"/>
    <s v="Master's Degree"/>
    <n v="1"/>
    <n v="3"/>
    <n v="48"/>
    <n v="3"/>
    <n v="2"/>
    <x v="2"/>
    <n v="6825"/>
    <n v="21173"/>
    <n v="0"/>
    <n v="11"/>
    <n v="3"/>
    <n v="4"/>
    <n v="80"/>
    <n v="1"/>
    <n v="10"/>
    <n v="3"/>
    <n v="9"/>
    <n v="7"/>
    <n v="4"/>
    <n v="2"/>
  </r>
  <r>
    <s v="No"/>
    <s v="Travel_Rarely"/>
    <s v="35 - 44"/>
    <s v="Current Employees"/>
    <s v="R&amp;D"/>
    <x v="2"/>
    <s v="STAFF-36"/>
    <n v="36"/>
    <x v="0"/>
    <s v="Healthcare Representative"/>
    <s v="Married"/>
    <s v="No"/>
    <s v="Y"/>
    <n v="4"/>
    <n v="-2"/>
    <n v="0"/>
    <n v="44"/>
    <n v="0"/>
    <m/>
    <n v="0"/>
    <n v="1"/>
    <n v="477"/>
    <n v="7"/>
    <s v="Master's Degree"/>
    <n v="1"/>
    <n v="1"/>
    <n v="42"/>
    <n v="2"/>
    <n v="3"/>
    <x v="0"/>
    <n v="10248"/>
    <n v="2094"/>
    <n v="3"/>
    <n v="14"/>
    <n v="3"/>
    <n v="4"/>
    <n v="80"/>
    <n v="1"/>
    <n v="24"/>
    <n v="3"/>
    <n v="22"/>
    <n v="6"/>
    <n v="5"/>
    <n v="17"/>
  </r>
  <r>
    <s v="No"/>
    <s v="Travel_Rarely"/>
    <s v="45 - 54"/>
    <s v="Current Employees"/>
    <s v="Sales"/>
    <x v="3"/>
    <s v="STAFF-38"/>
    <n v="38"/>
    <x v="0"/>
    <s v="Manager"/>
    <s v="Single"/>
    <s v="No"/>
    <s v="Y"/>
    <n v="2"/>
    <n v="-2"/>
    <n v="0"/>
    <n v="46"/>
    <n v="0"/>
    <m/>
    <n v="0"/>
    <n v="1"/>
    <n v="705"/>
    <n v="2"/>
    <s v="Master's Degree"/>
    <n v="1"/>
    <n v="2"/>
    <n v="83"/>
    <n v="3"/>
    <n v="5"/>
    <x v="0"/>
    <n v="18947"/>
    <n v="22822"/>
    <n v="3"/>
    <n v="12"/>
    <n v="3"/>
    <n v="4"/>
    <n v="80"/>
    <n v="0"/>
    <n v="22"/>
    <n v="2"/>
    <n v="2"/>
    <n v="2"/>
    <n v="2"/>
    <n v="1"/>
  </r>
  <r>
    <s v="No"/>
    <s v="Travel_Rarely"/>
    <s v="25 - 34"/>
    <s v="Current Employees"/>
    <s v="R&amp;D"/>
    <x v="2"/>
    <s v="STAFF-39"/>
    <n v="39"/>
    <x v="1"/>
    <s v="Laboratory Technician"/>
    <s v="Single"/>
    <s v="No"/>
    <s v="Y"/>
    <n v="3"/>
    <n v="-2"/>
    <n v="0"/>
    <n v="33"/>
    <n v="0"/>
    <m/>
    <n v="0"/>
    <n v="1"/>
    <n v="924"/>
    <n v="2"/>
    <s v="Bachelor's Degree"/>
    <n v="1"/>
    <n v="3"/>
    <n v="78"/>
    <n v="3"/>
    <n v="1"/>
    <x v="0"/>
    <n v="2496"/>
    <n v="6670"/>
    <n v="4"/>
    <n v="11"/>
    <n v="3"/>
    <n v="4"/>
    <n v="80"/>
    <n v="0"/>
    <n v="7"/>
    <n v="3"/>
    <n v="1"/>
    <n v="1"/>
    <n v="0"/>
    <n v="0"/>
  </r>
  <r>
    <s v="No"/>
    <s v="Travel_Rarely"/>
    <s v="35 - 44"/>
    <s v="Current Employees"/>
    <s v="R&amp;D"/>
    <x v="1"/>
    <s v="STAFF-40"/>
    <n v="40"/>
    <x v="1"/>
    <s v="Healthcare Representative"/>
    <s v="Married"/>
    <s v="Yes"/>
    <s v="Y"/>
    <n v="5"/>
    <n v="-2"/>
    <n v="0"/>
    <n v="44"/>
    <n v="0"/>
    <m/>
    <n v="0"/>
    <n v="1"/>
    <n v="1459"/>
    <n v="10"/>
    <s v="Master's Degree"/>
    <n v="1"/>
    <n v="4"/>
    <n v="41"/>
    <n v="3"/>
    <n v="2"/>
    <x v="0"/>
    <n v="6465"/>
    <n v="19121"/>
    <n v="2"/>
    <n v="13"/>
    <n v="3"/>
    <n v="4"/>
    <n v="80"/>
    <n v="0"/>
    <n v="9"/>
    <n v="4"/>
    <n v="4"/>
    <n v="2"/>
    <n v="1"/>
    <n v="3"/>
  </r>
  <r>
    <s v="No"/>
    <s v="Travel_Rarely"/>
    <s v="25 - 34"/>
    <s v="Current Employees"/>
    <s v="R&amp;D"/>
    <x v="2"/>
    <s v="STAFF-41"/>
    <n v="41"/>
    <x v="1"/>
    <s v="Laboratory Technician"/>
    <s v="Single"/>
    <s v="No"/>
    <s v="Y"/>
    <n v="5"/>
    <n v="-2"/>
    <n v="0"/>
    <n v="30"/>
    <n v="0"/>
    <m/>
    <n v="0"/>
    <n v="1"/>
    <n v="125"/>
    <n v="9"/>
    <s v="Associates Degree"/>
    <n v="1"/>
    <n v="4"/>
    <n v="83"/>
    <n v="2"/>
    <n v="1"/>
    <x v="2"/>
    <n v="2206"/>
    <n v="16117"/>
    <n v="1"/>
    <n v="13"/>
    <n v="3"/>
    <n v="1"/>
    <n v="80"/>
    <n v="0"/>
    <n v="10"/>
    <n v="3"/>
    <n v="10"/>
    <n v="0"/>
    <n v="1"/>
    <n v="8"/>
  </r>
  <r>
    <s v="Yes"/>
    <s v="Travel_Rarely"/>
    <s v="35 - 44"/>
    <s v="Ex-Employees"/>
    <s v="Sales"/>
    <x v="4"/>
    <s v="STAFF-42"/>
    <n v="42"/>
    <x v="1"/>
    <s v="Sales Representative"/>
    <s v="Married"/>
    <s v="No"/>
    <s v="Y"/>
    <n v="6"/>
    <n v="-2"/>
    <n v="0"/>
    <n v="39"/>
    <n v="1"/>
    <n v="1"/>
    <n v="1"/>
    <n v="0"/>
    <n v="895"/>
    <n v="5"/>
    <s v="Bachelor's Degree"/>
    <n v="1"/>
    <n v="4"/>
    <n v="56"/>
    <n v="3"/>
    <n v="2"/>
    <x v="0"/>
    <n v="2086"/>
    <n v="3335"/>
    <n v="3"/>
    <n v="14"/>
    <n v="3"/>
    <n v="3"/>
    <n v="80"/>
    <n v="1"/>
    <n v="19"/>
    <n v="4"/>
    <n v="1"/>
    <n v="0"/>
    <n v="0"/>
    <n v="0"/>
  </r>
  <r>
    <s v="Yes"/>
    <s v="Travel_Rarely"/>
    <s v="Under 25"/>
    <s v="Ex-Employees"/>
    <s v="R&amp;D"/>
    <x v="2"/>
    <s v="STAFF-45"/>
    <n v="45"/>
    <x v="1"/>
    <s v="Research Scientist"/>
    <s v="Married"/>
    <s v="Yes"/>
    <s v="Y"/>
    <n v="2"/>
    <n v="-2"/>
    <n v="0"/>
    <n v="24"/>
    <n v="1"/>
    <n v="1"/>
    <n v="1"/>
    <n v="0"/>
    <n v="813"/>
    <n v="1"/>
    <s v="Bachelor's Degree"/>
    <n v="1"/>
    <n v="2"/>
    <n v="61"/>
    <n v="3"/>
    <n v="1"/>
    <x v="0"/>
    <n v="2293"/>
    <n v="3020"/>
    <n v="2"/>
    <n v="16"/>
    <n v="3"/>
    <n v="1"/>
    <n v="80"/>
    <n v="1"/>
    <n v="6"/>
    <n v="2"/>
    <n v="2"/>
    <n v="0"/>
    <n v="2"/>
    <n v="0"/>
  </r>
  <r>
    <s v="No"/>
    <s v="Travel_Rarely"/>
    <s v="35 - 44"/>
    <s v="Current Employees"/>
    <s v="R&amp;D"/>
    <x v="2"/>
    <s v="STAFF-46"/>
    <n v="46"/>
    <x v="0"/>
    <s v="Research Scientist"/>
    <s v="Divorced"/>
    <s v="No"/>
    <s v="Y"/>
    <n v="3"/>
    <n v="-2"/>
    <n v="0"/>
    <n v="43"/>
    <n v="0"/>
    <m/>
    <n v="0"/>
    <n v="1"/>
    <n v="1273"/>
    <n v="2"/>
    <s v="Associates Degree"/>
    <n v="1"/>
    <n v="4"/>
    <n v="72"/>
    <n v="4"/>
    <n v="1"/>
    <x v="2"/>
    <n v="2645"/>
    <n v="21923"/>
    <n v="1"/>
    <n v="12"/>
    <n v="3"/>
    <n v="4"/>
    <n v="80"/>
    <n v="2"/>
    <n v="6"/>
    <n v="2"/>
    <n v="5"/>
    <n v="3"/>
    <n v="1"/>
    <n v="4"/>
  </r>
  <r>
    <s v="Yes"/>
    <s v="Travel_Rarely"/>
    <s v="45 - 54"/>
    <s v="Ex-Employees"/>
    <s v="Sales"/>
    <x v="3"/>
    <s v="STAFF-47"/>
    <n v="47"/>
    <x v="1"/>
    <s v="Sales Representative"/>
    <s v="Married"/>
    <s v="Yes"/>
    <s v="Y"/>
    <n v="2"/>
    <n v="-2"/>
    <n v="0"/>
    <n v="50"/>
    <n v="1"/>
    <n v="1"/>
    <n v="1"/>
    <n v="0"/>
    <n v="869"/>
    <n v="3"/>
    <s v="Associates Degree"/>
    <n v="1"/>
    <n v="1"/>
    <n v="86"/>
    <n v="2"/>
    <n v="1"/>
    <x v="2"/>
    <n v="2683"/>
    <n v="3810"/>
    <n v="1"/>
    <n v="14"/>
    <n v="3"/>
    <n v="3"/>
    <n v="80"/>
    <n v="0"/>
    <n v="3"/>
    <n v="3"/>
    <n v="3"/>
    <n v="2"/>
    <n v="0"/>
    <n v="2"/>
  </r>
  <r>
    <s v="No"/>
    <s v="Travel_Rarely"/>
    <s v="35 - 44"/>
    <s v="Current Employees"/>
    <s v="Sales"/>
    <x v="3"/>
    <s v="STAFF-49"/>
    <n v="49"/>
    <x v="0"/>
    <s v="Sales Representative"/>
    <s v="Married"/>
    <s v="No"/>
    <s v="Y"/>
    <n v="3"/>
    <n v="-2"/>
    <n v="0"/>
    <n v="35"/>
    <n v="0"/>
    <m/>
    <n v="0"/>
    <n v="1"/>
    <n v="890"/>
    <n v="2"/>
    <s v="Bachelor's Degree"/>
    <n v="1"/>
    <n v="4"/>
    <n v="97"/>
    <n v="3"/>
    <n v="1"/>
    <x v="0"/>
    <n v="2014"/>
    <n v="9687"/>
    <n v="1"/>
    <n v="13"/>
    <n v="3"/>
    <n v="1"/>
    <n v="80"/>
    <n v="0"/>
    <n v="2"/>
    <n v="3"/>
    <n v="2"/>
    <n v="2"/>
    <n v="2"/>
    <n v="2"/>
  </r>
  <r>
    <s v="No"/>
    <s v="Travel_Rarely"/>
    <s v="35 - 44"/>
    <s v="Current Employees"/>
    <s v="R&amp;D"/>
    <x v="0"/>
    <s v="STAFF-51"/>
    <n v="51"/>
    <x v="0"/>
    <s v="Research Scientist"/>
    <s v="Married"/>
    <s v="Yes"/>
    <s v="Y"/>
    <n v="3"/>
    <n v="-2"/>
    <n v="0"/>
    <n v="36"/>
    <n v="0"/>
    <m/>
    <n v="0"/>
    <n v="1"/>
    <n v="852"/>
    <n v="5"/>
    <s v="Master's Degree"/>
    <n v="1"/>
    <n v="2"/>
    <n v="82"/>
    <n v="2"/>
    <n v="1"/>
    <x v="1"/>
    <n v="3419"/>
    <n v="13072"/>
    <n v="9"/>
    <n v="14"/>
    <n v="3"/>
    <n v="4"/>
    <n v="80"/>
    <n v="1"/>
    <n v="6"/>
    <n v="4"/>
    <n v="1"/>
    <n v="1"/>
    <n v="0"/>
    <n v="0"/>
  </r>
  <r>
    <s v="No"/>
    <s v="Travel_Frequently"/>
    <s v="25 - 34"/>
    <s v="Current Employees"/>
    <s v="Sales"/>
    <x v="0"/>
    <s v="STAFF-52"/>
    <n v="52"/>
    <x v="0"/>
    <s v="Sales Executive"/>
    <s v="Married"/>
    <s v="No"/>
    <s v="Y"/>
    <n v="3"/>
    <n v="-2"/>
    <n v="0"/>
    <n v="33"/>
    <n v="0"/>
    <m/>
    <n v="0"/>
    <n v="1"/>
    <n v="1141"/>
    <n v="1"/>
    <s v="Bachelor's Degree"/>
    <n v="1"/>
    <n v="3"/>
    <n v="42"/>
    <n v="4"/>
    <n v="2"/>
    <x v="1"/>
    <n v="5376"/>
    <n v="3193"/>
    <n v="2"/>
    <n v="19"/>
    <n v="3"/>
    <n v="1"/>
    <n v="80"/>
    <n v="2"/>
    <n v="10"/>
    <n v="3"/>
    <n v="5"/>
    <n v="3"/>
    <n v="1"/>
    <n v="3"/>
  </r>
  <r>
    <s v="No"/>
    <s v="Travel_Rarely"/>
    <s v="35 - 44"/>
    <s v="Current Employees"/>
    <s v="R&amp;D"/>
    <x v="1"/>
    <s v="STAFF-53"/>
    <n v="53"/>
    <x v="1"/>
    <s v="Laboratory Technician"/>
    <s v="Divorced"/>
    <s v="No"/>
    <s v="Y"/>
    <n v="3"/>
    <n v="-2"/>
    <n v="0"/>
    <n v="35"/>
    <n v="0"/>
    <m/>
    <n v="0"/>
    <n v="1"/>
    <n v="464"/>
    <n v="4"/>
    <s v="Associates Degree"/>
    <n v="1"/>
    <n v="3"/>
    <n v="75"/>
    <n v="3"/>
    <n v="1"/>
    <x v="0"/>
    <n v="1951"/>
    <n v="10910"/>
    <n v="1"/>
    <n v="12"/>
    <n v="3"/>
    <n v="3"/>
    <n v="80"/>
    <n v="1"/>
    <n v="1"/>
    <n v="3"/>
    <n v="1"/>
    <n v="0"/>
    <n v="0"/>
    <n v="0"/>
  </r>
  <r>
    <s v="No"/>
    <s v="Travel_Rarely"/>
    <s v="25 - 34"/>
    <s v="Current Employees"/>
    <s v="R&amp;D"/>
    <x v="0"/>
    <s v="STAFF-54"/>
    <n v="54"/>
    <x v="0"/>
    <s v="Laboratory Technician"/>
    <s v="Divorced"/>
    <s v="No"/>
    <s v="Y"/>
    <n v="6"/>
    <n v="-2"/>
    <n v="0"/>
    <n v="27"/>
    <n v="0"/>
    <m/>
    <n v="0"/>
    <n v="1"/>
    <n v="1240"/>
    <n v="2"/>
    <s v="Master's Degree"/>
    <n v="1"/>
    <n v="4"/>
    <n v="33"/>
    <n v="3"/>
    <n v="1"/>
    <x v="1"/>
    <n v="2341"/>
    <n v="19715"/>
    <n v="1"/>
    <n v="13"/>
    <n v="3"/>
    <n v="4"/>
    <n v="80"/>
    <n v="1"/>
    <n v="1"/>
    <n v="3"/>
    <n v="1"/>
    <n v="0"/>
    <n v="0"/>
    <n v="0"/>
  </r>
  <r>
    <s v="Yes"/>
    <s v="Travel_Rarely"/>
    <s v="25 - 34"/>
    <s v="Ex-Employees"/>
    <s v="R&amp;D"/>
    <x v="0"/>
    <s v="STAFF-55"/>
    <n v="55"/>
    <x v="1"/>
    <s v="Laboratory Technician"/>
    <s v="Single"/>
    <s v="No"/>
    <s v="Y"/>
    <n v="2"/>
    <n v="-2"/>
    <n v="0"/>
    <n v="26"/>
    <n v="1"/>
    <n v="1"/>
    <n v="1"/>
    <n v="0"/>
    <n v="1357"/>
    <n v="25"/>
    <s v="Bachelor's Degree"/>
    <n v="1"/>
    <n v="1"/>
    <n v="48"/>
    <n v="1"/>
    <n v="1"/>
    <x v="1"/>
    <n v="2293"/>
    <n v="10558"/>
    <n v="1"/>
    <n v="12"/>
    <n v="3"/>
    <n v="3"/>
    <n v="80"/>
    <n v="0"/>
    <n v="1"/>
    <n v="2"/>
    <n v="1"/>
    <n v="0"/>
    <n v="0"/>
    <n v="1"/>
  </r>
  <r>
    <s v="No"/>
    <s v="Travel_Frequently"/>
    <s v="25 - 34"/>
    <s v="Current Employees"/>
    <s v="Sales"/>
    <x v="0"/>
    <s v="STAFF-56"/>
    <n v="56"/>
    <x v="1"/>
    <s v="Sales Executive"/>
    <s v="Single"/>
    <s v="No"/>
    <s v="Y"/>
    <n v="0"/>
    <n v="-2"/>
    <n v="0"/>
    <n v="27"/>
    <n v="0"/>
    <m/>
    <n v="0"/>
    <n v="1"/>
    <n v="994"/>
    <n v="8"/>
    <s v="Bachelor's Degree"/>
    <n v="1"/>
    <n v="4"/>
    <n v="37"/>
    <n v="3"/>
    <n v="3"/>
    <x v="1"/>
    <n v="8726"/>
    <n v="2975"/>
    <n v="1"/>
    <n v="15"/>
    <n v="3"/>
    <n v="4"/>
    <n v="80"/>
    <n v="0"/>
    <n v="9"/>
    <n v="3"/>
    <n v="9"/>
    <n v="8"/>
    <n v="1"/>
    <n v="7"/>
  </r>
  <r>
    <s v="No"/>
    <s v="Travel_Frequently"/>
    <s v="25 - 34"/>
    <s v="Current Employees"/>
    <s v="R&amp;D"/>
    <x v="2"/>
    <s v="STAFF-57"/>
    <n v="57"/>
    <x v="0"/>
    <s v="Laboratory Technician"/>
    <s v="Single"/>
    <s v="No"/>
    <s v="Y"/>
    <n v="2"/>
    <n v="-2"/>
    <n v="0"/>
    <n v="30"/>
    <n v="0"/>
    <m/>
    <n v="0"/>
    <n v="1"/>
    <n v="721"/>
    <n v="1"/>
    <s v="Associates Degree"/>
    <n v="1"/>
    <n v="3"/>
    <n v="58"/>
    <n v="3"/>
    <n v="2"/>
    <x v="0"/>
    <n v="4011"/>
    <n v="10781"/>
    <n v="1"/>
    <n v="23"/>
    <n v="4"/>
    <n v="4"/>
    <n v="80"/>
    <n v="0"/>
    <n v="12"/>
    <n v="3"/>
    <n v="12"/>
    <n v="8"/>
    <n v="3"/>
    <n v="7"/>
  </r>
  <r>
    <s v="Yes"/>
    <s v="Travel_Rarely"/>
    <s v="35 - 44"/>
    <s v="Ex-Employees"/>
    <s v="R&amp;D"/>
    <x v="4"/>
    <s v="STAFF-58"/>
    <n v="58"/>
    <x v="0"/>
    <s v="Research Director"/>
    <s v="Married"/>
    <s v="No"/>
    <s v="Y"/>
    <n v="0"/>
    <n v="-2"/>
    <n v="0"/>
    <n v="41"/>
    <n v="1"/>
    <n v="1"/>
    <n v="1"/>
    <n v="0"/>
    <n v="1360"/>
    <n v="12"/>
    <s v="Bachelor's Degree"/>
    <n v="1"/>
    <n v="2"/>
    <n v="49"/>
    <n v="3"/>
    <n v="5"/>
    <x v="2"/>
    <n v="19545"/>
    <n v="16280"/>
    <n v="1"/>
    <n v="12"/>
    <n v="3"/>
    <n v="4"/>
    <n v="80"/>
    <n v="0"/>
    <n v="23"/>
    <n v="3"/>
    <n v="22"/>
    <n v="15"/>
    <n v="15"/>
    <n v="8"/>
  </r>
  <r>
    <s v="No"/>
    <s v="Non-Travel"/>
    <s v="25 - 34"/>
    <s v="Current Employees"/>
    <s v="Sales"/>
    <x v="3"/>
    <s v="STAFF-60"/>
    <n v="60"/>
    <x v="1"/>
    <s v="Sales Executive"/>
    <s v="Single"/>
    <s v="No"/>
    <s v="Y"/>
    <n v="2"/>
    <n v="-2"/>
    <n v="0"/>
    <n v="34"/>
    <n v="0"/>
    <m/>
    <n v="0"/>
    <n v="1"/>
    <n v="1065"/>
    <n v="23"/>
    <s v="Master's Degree"/>
    <n v="1"/>
    <n v="2"/>
    <n v="72"/>
    <n v="3"/>
    <n v="2"/>
    <x v="2"/>
    <n v="4568"/>
    <n v="10034"/>
    <n v="0"/>
    <n v="20"/>
    <n v="4"/>
    <n v="3"/>
    <n v="80"/>
    <n v="0"/>
    <n v="10"/>
    <n v="3"/>
    <n v="9"/>
    <n v="5"/>
    <n v="8"/>
    <n v="7"/>
  </r>
  <r>
    <s v="No"/>
    <s v="Travel_Rarely"/>
    <s v="35 - 44"/>
    <s v="Current Employees"/>
    <s v="R&amp;D"/>
    <x v="0"/>
    <s v="STAFF-61"/>
    <n v="61"/>
    <x v="1"/>
    <s v="Research Scientist"/>
    <s v="Married"/>
    <s v="No"/>
    <s v="Y"/>
    <n v="1"/>
    <n v="-2"/>
    <n v="0"/>
    <n v="37"/>
    <n v="0"/>
    <m/>
    <n v="0"/>
    <n v="1"/>
    <n v="408"/>
    <n v="19"/>
    <s v="Associates Degree"/>
    <n v="1"/>
    <n v="2"/>
    <n v="73"/>
    <n v="3"/>
    <n v="1"/>
    <x v="1"/>
    <n v="3022"/>
    <n v="10227"/>
    <n v="4"/>
    <n v="21"/>
    <n v="4"/>
    <n v="1"/>
    <n v="80"/>
    <n v="0"/>
    <n v="8"/>
    <n v="3"/>
    <n v="1"/>
    <n v="0"/>
    <n v="0"/>
    <n v="0"/>
  </r>
  <r>
    <s v="No"/>
    <s v="Travel_Frequently"/>
    <s v="45 - 54"/>
    <s v="Current Employees"/>
    <s v="Sales"/>
    <x v="3"/>
    <s v="STAFF-62"/>
    <n v="62"/>
    <x v="1"/>
    <s v="Sales Executive"/>
    <s v="Single"/>
    <s v="Yes"/>
    <s v="Y"/>
    <n v="4"/>
    <n v="-2"/>
    <n v="0"/>
    <n v="46"/>
    <n v="0"/>
    <m/>
    <n v="0"/>
    <n v="1"/>
    <n v="1211"/>
    <n v="5"/>
    <s v="Master's Degree"/>
    <n v="1"/>
    <n v="1"/>
    <n v="98"/>
    <n v="3"/>
    <n v="2"/>
    <x v="0"/>
    <n v="5772"/>
    <n v="20445"/>
    <n v="4"/>
    <n v="21"/>
    <n v="4"/>
    <n v="3"/>
    <n v="80"/>
    <n v="0"/>
    <n v="14"/>
    <n v="3"/>
    <n v="9"/>
    <n v="6"/>
    <n v="0"/>
    <n v="8"/>
  </r>
  <r>
    <s v="No"/>
    <s v="Travel_Rarely"/>
    <s v="35 - 44"/>
    <s v="Current Employees"/>
    <s v="R&amp;D"/>
    <x v="0"/>
    <s v="STAFF-63"/>
    <n v="63"/>
    <x v="1"/>
    <s v="Laboratory Technician"/>
    <s v="Married"/>
    <s v="No"/>
    <s v="Y"/>
    <n v="2"/>
    <n v="-2"/>
    <n v="0"/>
    <n v="35"/>
    <n v="0"/>
    <m/>
    <n v="0"/>
    <n v="1"/>
    <n v="1229"/>
    <n v="8"/>
    <s v="High School"/>
    <n v="1"/>
    <n v="4"/>
    <n v="36"/>
    <n v="4"/>
    <n v="1"/>
    <x v="1"/>
    <n v="2269"/>
    <n v="4892"/>
    <n v="1"/>
    <n v="19"/>
    <n v="3"/>
    <n v="4"/>
    <n v="80"/>
    <n v="0"/>
    <n v="1"/>
    <n v="3"/>
    <n v="1"/>
    <n v="0"/>
    <n v="0"/>
    <n v="1"/>
  </r>
  <r>
    <s v="Yes"/>
    <s v="Travel_Rarely"/>
    <s v="45 - 54"/>
    <s v="Ex-Employees"/>
    <s v="R&amp;D"/>
    <x v="0"/>
    <s v="STAFF-64"/>
    <n v="64"/>
    <x v="1"/>
    <s v="Laboratory Technician"/>
    <s v="Single"/>
    <s v="Yes"/>
    <s v="Y"/>
    <n v="2"/>
    <n v="-2"/>
    <n v="0"/>
    <n v="48"/>
    <n v="1"/>
    <n v="1"/>
    <n v="1"/>
    <n v="0"/>
    <n v="626"/>
    <n v="1"/>
    <s v="Associates Degree"/>
    <n v="1"/>
    <n v="1"/>
    <n v="98"/>
    <n v="2"/>
    <n v="3"/>
    <x v="1"/>
    <n v="5381"/>
    <n v="19294"/>
    <n v="9"/>
    <n v="13"/>
    <n v="3"/>
    <n v="4"/>
    <n v="80"/>
    <n v="0"/>
    <n v="23"/>
    <n v="3"/>
    <n v="1"/>
    <n v="0"/>
    <n v="0"/>
    <n v="0"/>
  </r>
  <r>
    <s v="Yes"/>
    <s v="Travel_Rarely"/>
    <s v="25 - 34"/>
    <s v="Ex-Employees"/>
    <s v="R&amp;D"/>
    <x v="4"/>
    <s v="STAFF-65"/>
    <n v="65"/>
    <x v="1"/>
    <s v="Laboratory Technician"/>
    <s v="Single"/>
    <s v="Yes"/>
    <s v="Y"/>
    <n v="3"/>
    <n v="-2"/>
    <n v="0"/>
    <n v="28"/>
    <n v="1"/>
    <n v="1"/>
    <n v="1"/>
    <n v="0"/>
    <n v="1434"/>
    <n v="5"/>
    <s v="Master's Degree"/>
    <n v="1"/>
    <n v="3"/>
    <n v="50"/>
    <n v="3"/>
    <n v="1"/>
    <x v="2"/>
    <n v="3441"/>
    <n v="11179"/>
    <n v="1"/>
    <n v="13"/>
    <n v="3"/>
    <n v="3"/>
    <n v="80"/>
    <n v="0"/>
    <n v="2"/>
    <n v="2"/>
    <n v="2"/>
    <n v="2"/>
    <n v="2"/>
    <n v="2"/>
  </r>
  <r>
    <s v="No"/>
    <s v="Travel_Rarely"/>
    <s v="35 - 44"/>
    <s v="Current Employees"/>
    <s v="Sales"/>
    <x v="3"/>
    <s v="STAFF-68"/>
    <n v="68"/>
    <x v="0"/>
    <s v="Sales Executive"/>
    <s v="Divorced"/>
    <s v="Yes"/>
    <s v="Y"/>
    <n v="2"/>
    <n v="-2"/>
    <n v="0"/>
    <n v="44"/>
    <n v="0"/>
    <m/>
    <n v="0"/>
    <n v="1"/>
    <n v="1488"/>
    <n v="1"/>
    <s v="Doctoral Degree"/>
    <n v="1"/>
    <n v="2"/>
    <n v="75"/>
    <n v="3"/>
    <n v="2"/>
    <x v="0"/>
    <n v="5454"/>
    <n v="4009"/>
    <n v="5"/>
    <n v="21"/>
    <n v="4"/>
    <n v="3"/>
    <n v="80"/>
    <n v="1"/>
    <n v="9"/>
    <n v="2"/>
    <n v="4"/>
    <n v="3"/>
    <n v="1"/>
    <n v="3"/>
  </r>
  <r>
    <s v="No"/>
    <s v="Non-Travel"/>
    <s v="35 - 44"/>
    <s v="Current Employees"/>
    <s v="R&amp;D"/>
    <x v="2"/>
    <s v="STAFF-70"/>
    <n v="70"/>
    <x v="1"/>
    <s v="Healthcare Representative"/>
    <s v="Married"/>
    <s v="Yes"/>
    <s v="Y"/>
    <n v="3"/>
    <n v="-2"/>
    <n v="0"/>
    <n v="35"/>
    <n v="0"/>
    <m/>
    <n v="0"/>
    <n v="1"/>
    <n v="1097"/>
    <n v="11"/>
    <s v="Associates Degree"/>
    <n v="1"/>
    <n v="3"/>
    <n v="79"/>
    <n v="2"/>
    <n v="3"/>
    <x v="0"/>
    <n v="9884"/>
    <n v="8302"/>
    <n v="2"/>
    <n v="13"/>
    <n v="3"/>
    <n v="3"/>
    <n v="80"/>
    <n v="1"/>
    <n v="10"/>
    <n v="3"/>
    <n v="4"/>
    <n v="0"/>
    <n v="2"/>
    <n v="3"/>
  </r>
  <r>
    <s v="No"/>
    <s v="Travel_Rarely"/>
    <s v="25 - 34"/>
    <s v="Current Employees"/>
    <s v="Sales"/>
    <x v="3"/>
    <s v="STAFF-72"/>
    <n v="72"/>
    <x v="0"/>
    <s v="Sales Executive"/>
    <s v="Married"/>
    <s v="Yes"/>
    <s v="Y"/>
    <n v="2"/>
    <n v="-2"/>
    <n v="0"/>
    <n v="26"/>
    <n v="0"/>
    <m/>
    <n v="0"/>
    <n v="1"/>
    <n v="1443"/>
    <n v="23"/>
    <s v="Bachelor's Degree"/>
    <n v="1"/>
    <n v="3"/>
    <n v="47"/>
    <n v="2"/>
    <n v="2"/>
    <x v="0"/>
    <n v="4157"/>
    <n v="21436"/>
    <n v="7"/>
    <n v="19"/>
    <n v="3"/>
    <n v="3"/>
    <n v="80"/>
    <n v="1"/>
    <n v="5"/>
    <n v="2"/>
    <n v="2"/>
    <n v="2"/>
    <n v="0"/>
    <n v="0"/>
  </r>
  <r>
    <s v="No"/>
    <s v="Travel_Frequently"/>
    <s v="25 - 34"/>
    <s v="Current Employees"/>
    <s v="R&amp;D"/>
    <x v="0"/>
    <s v="STAFF-73"/>
    <n v="73"/>
    <x v="0"/>
    <s v="Research Director"/>
    <s v="Single"/>
    <s v="Yes"/>
    <s v="Y"/>
    <n v="1"/>
    <n v="-2"/>
    <n v="0"/>
    <n v="33"/>
    <n v="0"/>
    <m/>
    <n v="0"/>
    <n v="1"/>
    <n v="515"/>
    <n v="1"/>
    <s v="Associates Degree"/>
    <n v="1"/>
    <n v="1"/>
    <n v="98"/>
    <n v="3"/>
    <n v="3"/>
    <x v="1"/>
    <n v="13458"/>
    <n v="15146"/>
    <n v="1"/>
    <n v="12"/>
    <n v="3"/>
    <n v="3"/>
    <n v="80"/>
    <n v="0"/>
    <n v="15"/>
    <n v="3"/>
    <n v="15"/>
    <n v="14"/>
    <n v="8"/>
    <n v="12"/>
  </r>
  <r>
    <s v="No"/>
    <s v="Travel_Frequently"/>
    <s v="35 - 44"/>
    <s v="Current Employees"/>
    <s v="Sales"/>
    <x v="0"/>
    <s v="STAFF-74"/>
    <n v="74"/>
    <x v="1"/>
    <s v="Sales Executive"/>
    <s v="Married"/>
    <s v="No"/>
    <s v="Y"/>
    <n v="3"/>
    <n v="-2"/>
    <n v="0"/>
    <n v="35"/>
    <n v="0"/>
    <m/>
    <n v="0"/>
    <n v="1"/>
    <n v="853"/>
    <n v="18"/>
    <s v="Doctoral Degree"/>
    <n v="1"/>
    <n v="2"/>
    <n v="71"/>
    <n v="3"/>
    <n v="3"/>
    <x v="1"/>
    <n v="9069"/>
    <n v="11031"/>
    <n v="1"/>
    <n v="22"/>
    <n v="4"/>
    <n v="4"/>
    <n v="80"/>
    <n v="1"/>
    <n v="9"/>
    <n v="2"/>
    <n v="9"/>
    <n v="8"/>
    <n v="1"/>
    <n v="8"/>
  </r>
  <r>
    <s v="No"/>
    <s v="Travel_Rarely"/>
    <s v="35 - 44"/>
    <s v="Current Employees"/>
    <s v="R&amp;D"/>
    <x v="2"/>
    <s v="STAFF-75"/>
    <n v="75"/>
    <x v="0"/>
    <s v="Laboratory Technician"/>
    <s v="Married"/>
    <s v="Yes"/>
    <s v="Y"/>
    <n v="3"/>
    <n v="-2"/>
    <n v="0"/>
    <n v="35"/>
    <n v="0"/>
    <m/>
    <n v="0"/>
    <n v="1"/>
    <n v="1142"/>
    <n v="23"/>
    <s v="Master's Degree"/>
    <n v="1"/>
    <n v="3"/>
    <n v="30"/>
    <n v="3"/>
    <n v="1"/>
    <x v="0"/>
    <n v="4014"/>
    <n v="16002"/>
    <n v="3"/>
    <n v="15"/>
    <n v="3"/>
    <n v="3"/>
    <n v="80"/>
    <n v="1"/>
    <n v="4"/>
    <n v="3"/>
    <n v="2"/>
    <n v="2"/>
    <n v="2"/>
    <n v="2"/>
  </r>
  <r>
    <s v="No"/>
    <s v="Travel_Rarely"/>
    <s v="25 - 34"/>
    <s v="Current Employees"/>
    <s v="R&amp;D"/>
    <x v="0"/>
    <s v="STAFF-76"/>
    <n v="76"/>
    <x v="1"/>
    <s v="Laboratory Technician"/>
    <s v="Divorced"/>
    <s v="No"/>
    <s v="Y"/>
    <n v="3"/>
    <n v="-2"/>
    <n v="0"/>
    <n v="31"/>
    <n v="0"/>
    <m/>
    <n v="0"/>
    <n v="1"/>
    <n v="655"/>
    <n v="7"/>
    <s v="Master's Degree"/>
    <n v="1"/>
    <n v="4"/>
    <n v="48"/>
    <n v="3"/>
    <n v="2"/>
    <x v="1"/>
    <n v="5915"/>
    <n v="9528"/>
    <n v="3"/>
    <n v="22"/>
    <n v="4"/>
    <n v="4"/>
    <n v="80"/>
    <n v="1"/>
    <n v="10"/>
    <n v="2"/>
    <n v="7"/>
    <n v="7"/>
    <n v="1"/>
    <n v="7"/>
  </r>
  <r>
    <s v="No"/>
    <s v="Travel_Rarely"/>
    <s v="35 - 44"/>
    <s v="Current Employees"/>
    <s v="R&amp;D"/>
    <x v="0"/>
    <s v="STAFF-77"/>
    <n v="77"/>
    <x v="1"/>
    <s v="Manufacturing Director"/>
    <s v="Divorced"/>
    <s v="No"/>
    <s v="Y"/>
    <n v="2"/>
    <n v="-2"/>
    <n v="0"/>
    <n v="37"/>
    <n v="0"/>
    <m/>
    <n v="0"/>
    <n v="1"/>
    <n v="1115"/>
    <n v="1"/>
    <s v="Master's Degree"/>
    <n v="1"/>
    <n v="1"/>
    <n v="51"/>
    <n v="2"/>
    <n v="2"/>
    <x v="1"/>
    <n v="5993"/>
    <n v="2689"/>
    <n v="1"/>
    <n v="18"/>
    <n v="3"/>
    <n v="3"/>
    <n v="80"/>
    <n v="1"/>
    <n v="7"/>
    <n v="4"/>
    <n v="7"/>
    <n v="5"/>
    <n v="0"/>
    <n v="7"/>
  </r>
  <r>
    <s v="No"/>
    <s v="Travel_Rarely"/>
    <s v="25 - 34"/>
    <s v="Current Employees"/>
    <s v="R&amp;D"/>
    <x v="2"/>
    <s v="STAFF-78"/>
    <n v="78"/>
    <x v="1"/>
    <s v="Manufacturing Director"/>
    <s v="Married"/>
    <s v="Yes"/>
    <s v="Y"/>
    <n v="3"/>
    <n v="-2"/>
    <n v="0"/>
    <n v="32"/>
    <n v="0"/>
    <m/>
    <n v="0"/>
    <n v="1"/>
    <n v="427"/>
    <n v="1"/>
    <s v="Bachelor's Degree"/>
    <n v="1"/>
    <n v="1"/>
    <n v="33"/>
    <n v="3"/>
    <n v="2"/>
    <x v="0"/>
    <n v="6162"/>
    <n v="10877"/>
    <n v="1"/>
    <n v="22"/>
    <n v="4"/>
    <n v="2"/>
    <n v="80"/>
    <n v="1"/>
    <n v="9"/>
    <n v="3"/>
    <n v="9"/>
    <n v="8"/>
    <n v="7"/>
    <n v="8"/>
  </r>
  <r>
    <s v="No"/>
    <s v="Travel_Frequently"/>
    <s v="35 - 44"/>
    <s v="Current Employees"/>
    <s v="R&amp;D"/>
    <x v="0"/>
    <s v="STAFF-79"/>
    <n v="79"/>
    <x v="0"/>
    <s v="Laboratory Technician"/>
    <s v="Single"/>
    <s v="No"/>
    <s v="Y"/>
    <n v="2"/>
    <n v="-2"/>
    <n v="0"/>
    <n v="38"/>
    <n v="0"/>
    <m/>
    <n v="0"/>
    <n v="1"/>
    <n v="653"/>
    <n v="29"/>
    <s v="Doctoral Degree"/>
    <n v="1"/>
    <n v="4"/>
    <n v="50"/>
    <n v="3"/>
    <n v="2"/>
    <x v="1"/>
    <n v="2406"/>
    <n v="5456"/>
    <n v="1"/>
    <n v="11"/>
    <n v="3"/>
    <n v="4"/>
    <n v="80"/>
    <n v="0"/>
    <n v="10"/>
    <n v="3"/>
    <n v="10"/>
    <n v="3"/>
    <n v="9"/>
    <n v="9"/>
  </r>
  <r>
    <s v="No"/>
    <s v="Travel_Rarely"/>
    <s v="45 - 54"/>
    <s v="Current Employees"/>
    <s v="R&amp;D"/>
    <x v="2"/>
    <s v="STAFF-80"/>
    <n v="80"/>
    <x v="0"/>
    <s v="Research Director"/>
    <s v="Divorced"/>
    <s v="Yes"/>
    <s v="Y"/>
    <n v="2"/>
    <n v="-2"/>
    <n v="0"/>
    <n v="50"/>
    <n v="0"/>
    <m/>
    <n v="0"/>
    <n v="1"/>
    <n v="989"/>
    <n v="7"/>
    <s v="Associates Degree"/>
    <n v="1"/>
    <n v="2"/>
    <n v="43"/>
    <n v="2"/>
    <n v="5"/>
    <x v="2"/>
    <n v="18740"/>
    <n v="16701"/>
    <n v="5"/>
    <n v="12"/>
    <n v="3"/>
    <n v="4"/>
    <n v="80"/>
    <n v="1"/>
    <n v="29"/>
    <n v="2"/>
    <n v="27"/>
    <n v="3"/>
    <n v="13"/>
    <n v="8"/>
  </r>
  <r>
    <s v="No"/>
    <s v="Travel_Rarely"/>
    <s v="Over 55"/>
    <s v="Current Employees"/>
    <s v="Sales"/>
    <x v="0"/>
    <s v="STAFF-81"/>
    <n v="81"/>
    <x v="0"/>
    <s v="Sales Executive"/>
    <s v="Single"/>
    <s v="No"/>
    <s v="Y"/>
    <n v="3"/>
    <n v="-2"/>
    <n v="0"/>
    <n v="59"/>
    <n v="0"/>
    <m/>
    <n v="0"/>
    <n v="1"/>
    <n v="1435"/>
    <n v="25"/>
    <s v="Bachelor's Degree"/>
    <n v="1"/>
    <n v="1"/>
    <n v="99"/>
    <n v="3"/>
    <n v="3"/>
    <x v="1"/>
    <n v="7637"/>
    <n v="2354"/>
    <n v="7"/>
    <n v="11"/>
    <n v="3"/>
    <n v="4"/>
    <n v="80"/>
    <n v="0"/>
    <n v="28"/>
    <n v="2"/>
    <n v="21"/>
    <n v="16"/>
    <n v="7"/>
    <n v="9"/>
  </r>
  <r>
    <s v="No"/>
    <s v="Travel_Rarely"/>
    <s v="35 - 44"/>
    <s v="Current Employees"/>
    <s v="R&amp;D"/>
    <x v="4"/>
    <s v="STAFF-83"/>
    <n v="83"/>
    <x v="0"/>
    <s v="Healthcare Representative"/>
    <s v="Divorced"/>
    <s v="No"/>
    <s v="Y"/>
    <n v="2"/>
    <n v="-2"/>
    <n v="0"/>
    <n v="36"/>
    <n v="0"/>
    <m/>
    <n v="0"/>
    <n v="1"/>
    <n v="1223"/>
    <n v="8"/>
    <s v="Bachelor's Degree"/>
    <n v="1"/>
    <n v="3"/>
    <n v="59"/>
    <n v="3"/>
    <n v="3"/>
    <x v="2"/>
    <n v="10096"/>
    <n v="8202"/>
    <n v="1"/>
    <n v="13"/>
    <n v="3"/>
    <n v="2"/>
    <n v="80"/>
    <n v="3"/>
    <n v="17"/>
    <n v="3"/>
    <n v="17"/>
    <n v="14"/>
    <n v="12"/>
    <n v="8"/>
  </r>
  <r>
    <s v="No"/>
    <s v="Travel_Rarely"/>
    <s v="Over 55"/>
    <s v="Current Employees"/>
    <s v="R&amp;D"/>
    <x v="2"/>
    <s v="STAFF-84"/>
    <n v="84"/>
    <x v="0"/>
    <s v="Manager"/>
    <s v="Divorced"/>
    <s v="Yes"/>
    <s v="Y"/>
    <n v="2"/>
    <n v="-2"/>
    <n v="0"/>
    <n v="55"/>
    <n v="0"/>
    <m/>
    <n v="0"/>
    <n v="1"/>
    <n v="836"/>
    <n v="8"/>
    <s v="Bachelor's Degree"/>
    <n v="1"/>
    <n v="4"/>
    <n v="33"/>
    <n v="3"/>
    <n v="4"/>
    <x v="2"/>
    <n v="14756"/>
    <n v="19730"/>
    <n v="2"/>
    <n v="14"/>
    <n v="3"/>
    <n v="3"/>
    <n v="80"/>
    <n v="3"/>
    <n v="21"/>
    <n v="3"/>
    <n v="5"/>
    <n v="0"/>
    <n v="0"/>
    <n v="2"/>
  </r>
  <r>
    <s v="No"/>
    <s v="Travel_Frequently"/>
    <s v="35 - 44"/>
    <s v="Current Employees"/>
    <s v="R&amp;D"/>
    <x v="0"/>
    <s v="STAFF-85"/>
    <n v="85"/>
    <x v="1"/>
    <s v="Manufacturing Director"/>
    <s v="Single"/>
    <s v="No"/>
    <s v="Y"/>
    <n v="3"/>
    <n v="-2"/>
    <n v="0"/>
    <n v="36"/>
    <n v="0"/>
    <m/>
    <n v="0"/>
    <n v="1"/>
    <n v="1195"/>
    <n v="11"/>
    <s v="Bachelor's Degree"/>
    <n v="1"/>
    <n v="2"/>
    <n v="95"/>
    <n v="2"/>
    <n v="2"/>
    <x v="1"/>
    <n v="6499"/>
    <n v="22656"/>
    <n v="1"/>
    <n v="13"/>
    <n v="3"/>
    <n v="3"/>
    <n v="80"/>
    <n v="0"/>
    <n v="6"/>
    <n v="3"/>
    <n v="6"/>
    <n v="5"/>
    <n v="0"/>
    <n v="3"/>
  </r>
  <r>
    <s v="No"/>
    <s v="Travel_Rarely"/>
    <s v="45 - 54"/>
    <s v="Current Employees"/>
    <s v="R&amp;D"/>
    <x v="0"/>
    <s v="STAFF-86"/>
    <n v="86"/>
    <x v="1"/>
    <s v="Research Scientist"/>
    <s v="Divorced"/>
    <s v="No"/>
    <s v="Y"/>
    <n v="2"/>
    <n v="-2"/>
    <n v="0"/>
    <n v="45"/>
    <n v="0"/>
    <m/>
    <n v="0"/>
    <n v="1"/>
    <n v="1339"/>
    <n v="7"/>
    <s v="Bachelor's Degree"/>
    <n v="1"/>
    <n v="2"/>
    <n v="59"/>
    <n v="3"/>
    <n v="3"/>
    <x v="1"/>
    <n v="9724"/>
    <n v="18787"/>
    <n v="2"/>
    <n v="17"/>
    <n v="3"/>
    <n v="3"/>
    <n v="80"/>
    <n v="1"/>
    <n v="25"/>
    <n v="3"/>
    <n v="1"/>
    <n v="0"/>
    <n v="0"/>
    <n v="0"/>
  </r>
  <r>
    <s v="No"/>
    <s v="Travel_Frequently"/>
    <s v="35 - 44"/>
    <s v="Current Employees"/>
    <s v="R&amp;D"/>
    <x v="2"/>
    <s v="STAFF-88"/>
    <n v="88"/>
    <x v="1"/>
    <s v="Research Scientist"/>
    <s v="Married"/>
    <s v="No"/>
    <s v="Y"/>
    <n v="2"/>
    <n v="-2"/>
    <n v="0"/>
    <n v="35"/>
    <n v="0"/>
    <m/>
    <n v="0"/>
    <n v="1"/>
    <n v="664"/>
    <n v="1"/>
    <s v="Bachelor's Degree"/>
    <n v="1"/>
    <n v="2"/>
    <n v="79"/>
    <n v="3"/>
    <n v="1"/>
    <x v="0"/>
    <n v="2194"/>
    <n v="5868"/>
    <n v="4"/>
    <n v="13"/>
    <n v="3"/>
    <n v="4"/>
    <n v="80"/>
    <n v="1"/>
    <n v="5"/>
    <n v="2"/>
    <n v="3"/>
    <n v="2"/>
    <n v="1"/>
    <n v="2"/>
  </r>
  <r>
    <s v="Yes"/>
    <s v="Travel_Rarely"/>
    <s v="35 - 44"/>
    <s v="Ex-Employees"/>
    <s v="R&amp;D"/>
    <x v="2"/>
    <s v="STAFF-90"/>
    <n v="90"/>
    <x v="1"/>
    <s v="Research Scientist"/>
    <s v="Married"/>
    <s v="Yes"/>
    <s v="Y"/>
    <n v="0"/>
    <n v="-2"/>
    <n v="0"/>
    <n v="36"/>
    <n v="1"/>
    <n v="1"/>
    <n v="1"/>
    <n v="0"/>
    <n v="318"/>
    <n v="9"/>
    <s v="Bachelor's Degree"/>
    <n v="1"/>
    <n v="4"/>
    <n v="79"/>
    <n v="2"/>
    <n v="1"/>
    <x v="2"/>
    <n v="3388"/>
    <n v="21777"/>
    <n v="0"/>
    <n v="17"/>
    <n v="3"/>
    <n v="1"/>
    <n v="80"/>
    <n v="1"/>
    <n v="2"/>
    <n v="2"/>
    <n v="1"/>
    <n v="0"/>
    <n v="0"/>
    <n v="0"/>
  </r>
  <r>
    <s v="No"/>
    <s v="Travel_Frequently"/>
    <s v="Over 55"/>
    <s v="Current Employees"/>
    <s v="Sales"/>
    <x v="0"/>
    <s v="STAFF-91"/>
    <n v="91"/>
    <x v="0"/>
    <s v="Sales Executive"/>
    <s v="Single"/>
    <s v="No"/>
    <s v="Y"/>
    <n v="2"/>
    <n v="-2"/>
    <n v="0"/>
    <n v="59"/>
    <n v="0"/>
    <m/>
    <n v="0"/>
    <n v="1"/>
    <n v="1225"/>
    <n v="1"/>
    <s v="High School"/>
    <n v="1"/>
    <n v="1"/>
    <n v="57"/>
    <n v="2"/>
    <n v="2"/>
    <x v="1"/>
    <n v="5473"/>
    <n v="24668"/>
    <n v="7"/>
    <n v="11"/>
    <n v="3"/>
    <n v="4"/>
    <n v="80"/>
    <n v="0"/>
    <n v="20"/>
    <n v="2"/>
    <n v="4"/>
    <n v="3"/>
    <n v="1"/>
    <n v="3"/>
  </r>
  <r>
    <s v="No"/>
    <s v="Travel_Rarely"/>
    <s v="25 - 34"/>
    <s v="Current Employees"/>
    <s v="R&amp;D"/>
    <x v="0"/>
    <s v="STAFF-94"/>
    <n v="94"/>
    <x v="1"/>
    <s v="Research Scientist"/>
    <s v="Married"/>
    <s v="No"/>
    <s v="Y"/>
    <n v="3"/>
    <n v="-2"/>
    <n v="0"/>
    <n v="29"/>
    <n v="0"/>
    <m/>
    <n v="0"/>
    <n v="1"/>
    <n v="1328"/>
    <n v="2"/>
    <s v="Bachelor's Degree"/>
    <n v="1"/>
    <n v="3"/>
    <n v="76"/>
    <n v="3"/>
    <n v="1"/>
    <x v="1"/>
    <n v="2703"/>
    <n v="4956"/>
    <n v="0"/>
    <n v="23"/>
    <n v="4"/>
    <n v="4"/>
    <n v="80"/>
    <n v="1"/>
    <n v="6"/>
    <n v="3"/>
    <n v="5"/>
    <n v="4"/>
    <n v="0"/>
    <n v="4"/>
  </r>
  <r>
    <s v="No"/>
    <s v="Travel_Rarely"/>
    <s v="25 - 34"/>
    <s v="Current Employees"/>
    <s v="R&amp;D"/>
    <x v="2"/>
    <s v="STAFF-95"/>
    <n v="95"/>
    <x v="1"/>
    <s v="Research Scientist"/>
    <s v="Single"/>
    <s v="No"/>
    <s v="Y"/>
    <n v="4"/>
    <n v="-2"/>
    <n v="0"/>
    <n v="31"/>
    <n v="0"/>
    <m/>
    <n v="0"/>
    <n v="1"/>
    <n v="1082"/>
    <n v="1"/>
    <s v="Master's Degree"/>
    <n v="1"/>
    <n v="3"/>
    <n v="87"/>
    <n v="3"/>
    <n v="1"/>
    <x v="2"/>
    <n v="2501"/>
    <n v="18775"/>
    <n v="1"/>
    <n v="17"/>
    <n v="3"/>
    <n v="2"/>
    <n v="80"/>
    <n v="0"/>
    <n v="1"/>
    <n v="3"/>
    <n v="1"/>
    <n v="1"/>
    <n v="1"/>
    <n v="0"/>
  </r>
  <r>
    <s v="No"/>
    <s v="Travel_Rarely"/>
    <s v="25 - 34"/>
    <s v="Current Employees"/>
    <s v="R&amp;D"/>
    <x v="0"/>
    <s v="STAFF-96"/>
    <n v="96"/>
    <x v="1"/>
    <s v="Research Scientist"/>
    <s v="Married"/>
    <s v="No"/>
    <s v="Y"/>
    <n v="3"/>
    <n v="-2"/>
    <n v="0"/>
    <n v="32"/>
    <n v="0"/>
    <m/>
    <n v="0"/>
    <n v="1"/>
    <n v="548"/>
    <n v="1"/>
    <s v="Bachelor's Degree"/>
    <n v="1"/>
    <n v="2"/>
    <n v="66"/>
    <n v="3"/>
    <n v="2"/>
    <x v="1"/>
    <n v="6220"/>
    <n v="7346"/>
    <n v="1"/>
    <n v="17"/>
    <n v="3"/>
    <n v="2"/>
    <n v="80"/>
    <n v="2"/>
    <n v="10"/>
    <n v="3"/>
    <n v="10"/>
    <n v="4"/>
    <n v="0"/>
    <n v="9"/>
  </r>
  <r>
    <s v="No"/>
    <s v="Travel_Rarely"/>
    <s v="35 - 44"/>
    <s v="Current Employees"/>
    <s v="R&amp;D"/>
    <x v="0"/>
    <s v="STAFF-97"/>
    <n v="97"/>
    <x v="0"/>
    <s v="Laboratory Technician"/>
    <s v="Married"/>
    <s v="No"/>
    <s v="Y"/>
    <n v="3"/>
    <n v="-2"/>
    <n v="0"/>
    <n v="36"/>
    <n v="0"/>
    <m/>
    <n v="0"/>
    <n v="1"/>
    <n v="132"/>
    <n v="6"/>
    <s v="Bachelor's Degree"/>
    <n v="1"/>
    <n v="2"/>
    <n v="55"/>
    <n v="4"/>
    <n v="1"/>
    <x v="1"/>
    <n v="3038"/>
    <n v="22002"/>
    <n v="3"/>
    <n v="12"/>
    <n v="3"/>
    <n v="2"/>
    <n v="80"/>
    <n v="0"/>
    <n v="5"/>
    <n v="3"/>
    <n v="1"/>
    <n v="0"/>
    <n v="0"/>
    <n v="0"/>
  </r>
  <r>
    <s v="No"/>
    <s v="Travel_Rarely"/>
    <s v="25 - 34"/>
    <s v="Current Employees"/>
    <s v="R&amp;D"/>
    <x v="0"/>
    <s v="STAFF-98"/>
    <n v="98"/>
    <x v="0"/>
    <s v="Manufacturing Director"/>
    <s v="Single"/>
    <s v="No"/>
    <s v="Y"/>
    <n v="2"/>
    <n v="-2"/>
    <n v="0"/>
    <n v="31"/>
    <n v="0"/>
    <m/>
    <n v="0"/>
    <n v="1"/>
    <n v="746"/>
    <n v="8"/>
    <s v="Master's Degree"/>
    <n v="1"/>
    <n v="3"/>
    <n v="61"/>
    <n v="3"/>
    <n v="2"/>
    <x v="1"/>
    <n v="4424"/>
    <n v="20682"/>
    <n v="1"/>
    <n v="23"/>
    <n v="4"/>
    <n v="4"/>
    <n v="80"/>
    <n v="0"/>
    <n v="11"/>
    <n v="3"/>
    <n v="11"/>
    <n v="7"/>
    <n v="1"/>
    <n v="8"/>
  </r>
  <r>
    <s v="No"/>
    <s v="Travel_Rarely"/>
    <s v="35 - 44"/>
    <s v="Current Employees"/>
    <s v="Sales"/>
    <x v="3"/>
    <s v="STAFF-100"/>
    <n v="100"/>
    <x v="1"/>
    <s v="Sales Executive"/>
    <s v="Single"/>
    <s v="No"/>
    <s v="Y"/>
    <n v="2"/>
    <n v="-2"/>
    <n v="0"/>
    <n v="35"/>
    <n v="0"/>
    <m/>
    <n v="0"/>
    <n v="1"/>
    <n v="776"/>
    <n v="1"/>
    <s v="Master's Degree"/>
    <n v="1"/>
    <n v="3"/>
    <n v="32"/>
    <n v="2"/>
    <n v="2"/>
    <x v="0"/>
    <n v="4312"/>
    <n v="23016"/>
    <n v="0"/>
    <n v="14"/>
    <n v="3"/>
    <n v="2"/>
    <n v="80"/>
    <n v="0"/>
    <n v="16"/>
    <n v="3"/>
    <n v="15"/>
    <n v="13"/>
    <n v="2"/>
    <n v="8"/>
  </r>
  <r>
    <s v="No"/>
    <s v="Travel_Rarely"/>
    <s v="45 - 54"/>
    <s v="Current Employees"/>
    <s v="R&amp;D"/>
    <x v="1"/>
    <s v="STAFF-101"/>
    <n v="101"/>
    <x v="1"/>
    <s v="Research Director"/>
    <s v="Married"/>
    <s v="Yes"/>
    <s v="Y"/>
    <n v="3"/>
    <n v="-2"/>
    <n v="0"/>
    <n v="45"/>
    <n v="0"/>
    <m/>
    <n v="0"/>
    <n v="1"/>
    <n v="193"/>
    <n v="6"/>
    <s v="Master's Degree"/>
    <n v="1"/>
    <n v="4"/>
    <n v="52"/>
    <n v="3"/>
    <n v="3"/>
    <x v="0"/>
    <n v="13245"/>
    <n v="15067"/>
    <n v="4"/>
    <n v="14"/>
    <n v="3"/>
    <n v="2"/>
    <n v="80"/>
    <n v="0"/>
    <n v="17"/>
    <n v="4"/>
    <n v="0"/>
    <n v="0"/>
    <n v="0"/>
    <n v="0"/>
  </r>
  <r>
    <s v="No"/>
    <s v="Travel_Rarely"/>
    <s v="35 - 44"/>
    <s v="Current Employees"/>
    <s v="R&amp;D"/>
    <x v="2"/>
    <s v="STAFF-102"/>
    <n v="102"/>
    <x v="1"/>
    <s v="Research Director"/>
    <s v="Single"/>
    <s v="No"/>
    <s v="Y"/>
    <n v="3"/>
    <n v="-2"/>
    <n v="0"/>
    <n v="37"/>
    <n v="0"/>
    <m/>
    <n v="0"/>
    <n v="1"/>
    <n v="397"/>
    <n v="7"/>
    <s v="Master's Degree"/>
    <n v="1"/>
    <n v="1"/>
    <n v="30"/>
    <n v="3"/>
    <n v="3"/>
    <x v="2"/>
    <n v="13664"/>
    <n v="25258"/>
    <n v="4"/>
    <n v="13"/>
    <n v="3"/>
    <n v="1"/>
    <n v="80"/>
    <n v="0"/>
    <n v="16"/>
    <n v="4"/>
    <n v="5"/>
    <n v="2"/>
    <n v="0"/>
    <n v="2"/>
  </r>
  <r>
    <s v="No"/>
    <s v="Travel_Rarely"/>
    <s v="45 - 54"/>
    <s v="Current Employees"/>
    <s v="HR"/>
    <x v="2"/>
    <s v="STAFF-103"/>
    <n v="103"/>
    <x v="1"/>
    <s v="Human Resources"/>
    <s v="Divorced"/>
    <s v="Yes"/>
    <s v="Y"/>
    <n v="2"/>
    <n v="-2"/>
    <n v="0"/>
    <n v="46"/>
    <n v="0"/>
    <m/>
    <n v="0"/>
    <n v="1"/>
    <n v="945"/>
    <n v="5"/>
    <s v="Associates Degree"/>
    <n v="1"/>
    <n v="2"/>
    <n v="80"/>
    <n v="3"/>
    <n v="2"/>
    <x v="2"/>
    <n v="5021"/>
    <n v="10425"/>
    <n v="8"/>
    <n v="22"/>
    <n v="4"/>
    <n v="4"/>
    <n v="80"/>
    <n v="1"/>
    <n v="16"/>
    <n v="3"/>
    <n v="4"/>
    <n v="2"/>
    <n v="0"/>
    <n v="2"/>
  </r>
  <r>
    <s v="No"/>
    <s v="Travel_Rarely"/>
    <s v="25 - 34"/>
    <s v="Current Employees"/>
    <s v="R&amp;D"/>
    <x v="0"/>
    <s v="STAFF-104"/>
    <n v="104"/>
    <x v="1"/>
    <s v="Laboratory Technician"/>
    <s v="Married"/>
    <s v="Yes"/>
    <s v="Y"/>
    <n v="1"/>
    <n v="-2"/>
    <n v="0"/>
    <n v="30"/>
    <n v="0"/>
    <m/>
    <n v="0"/>
    <n v="1"/>
    <n v="852"/>
    <n v="1"/>
    <s v="High School"/>
    <n v="1"/>
    <n v="4"/>
    <n v="55"/>
    <n v="2"/>
    <n v="2"/>
    <x v="1"/>
    <n v="5126"/>
    <n v="15998"/>
    <n v="1"/>
    <n v="12"/>
    <n v="3"/>
    <n v="3"/>
    <n v="80"/>
    <n v="2"/>
    <n v="10"/>
    <n v="2"/>
    <n v="10"/>
    <n v="8"/>
    <n v="3"/>
    <n v="0"/>
  </r>
  <r>
    <s v="No"/>
    <s v="Travel_Rarely"/>
    <s v="35 - 44"/>
    <s v="Current Employees"/>
    <s v="R&amp;D"/>
    <x v="2"/>
    <s v="STAFF-105"/>
    <n v="105"/>
    <x v="1"/>
    <s v="Research Scientist"/>
    <s v="Single"/>
    <s v="No"/>
    <s v="Y"/>
    <n v="3"/>
    <n v="-2"/>
    <n v="0"/>
    <n v="35"/>
    <n v="0"/>
    <m/>
    <n v="0"/>
    <n v="1"/>
    <n v="1214"/>
    <n v="1"/>
    <s v="Bachelor's Degree"/>
    <n v="1"/>
    <n v="2"/>
    <n v="30"/>
    <n v="2"/>
    <n v="1"/>
    <x v="2"/>
    <n v="2859"/>
    <n v="26278"/>
    <n v="1"/>
    <n v="18"/>
    <n v="3"/>
    <n v="1"/>
    <n v="80"/>
    <n v="0"/>
    <n v="6"/>
    <n v="3"/>
    <n v="6"/>
    <n v="4"/>
    <n v="0"/>
    <n v="4"/>
  </r>
  <r>
    <s v="No"/>
    <s v="Travel_Rarely"/>
    <s v="Over 55"/>
    <s v="Current Employees"/>
    <s v="Sales"/>
    <x v="0"/>
    <s v="STAFF-106"/>
    <n v="106"/>
    <x v="1"/>
    <s v="Sales Executive"/>
    <s v="Married"/>
    <s v="No"/>
    <s v="Y"/>
    <n v="4"/>
    <n v="-2"/>
    <n v="0"/>
    <n v="55"/>
    <n v="0"/>
    <m/>
    <n v="0"/>
    <n v="1"/>
    <n v="111"/>
    <n v="1"/>
    <s v="Associates Degree"/>
    <n v="1"/>
    <n v="1"/>
    <n v="70"/>
    <n v="3"/>
    <n v="3"/>
    <x v="1"/>
    <n v="10239"/>
    <n v="18092"/>
    <n v="3"/>
    <n v="14"/>
    <n v="3"/>
    <n v="4"/>
    <n v="80"/>
    <n v="1"/>
    <n v="24"/>
    <n v="3"/>
    <n v="1"/>
    <n v="0"/>
    <n v="1"/>
    <n v="0"/>
  </r>
  <r>
    <s v="No"/>
    <s v="Non-Travel"/>
    <s v="35 - 44"/>
    <s v="Current Employees"/>
    <s v="R&amp;D"/>
    <x v="2"/>
    <s v="STAFF-107"/>
    <n v="107"/>
    <x v="0"/>
    <s v="Research Scientist"/>
    <s v="Divorced"/>
    <s v="Yes"/>
    <s v="Y"/>
    <n v="3"/>
    <n v="-2"/>
    <n v="0"/>
    <n v="38"/>
    <n v="0"/>
    <m/>
    <n v="0"/>
    <n v="1"/>
    <n v="573"/>
    <n v="6"/>
    <s v="Bachelor's Degree"/>
    <n v="1"/>
    <n v="2"/>
    <n v="79"/>
    <n v="1"/>
    <n v="2"/>
    <x v="0"/>
    <n v="5329"/>
    <n v="15717"/>
    <n v="7"/>
    <n v="12"/>
    <n v="3"/>
    <n v="4"/>
    <n v="80"/>
    <n v="3"/>
    <n v="17"/>
    <n v="3"/>
    <n v="13"/>
    <n v="11"/>
    <n v="1"/>
    <n v="9"/>
  </r>
  <r>
    <s v="No"/>
    <s v="Travel_Rarely"/>
    <s v="25 - 34"/>
    <s v="Current Employees"/>
    <s v="R&amp;D"/>
    <x v="2"/>
    <s v="STAFF-110"/>
    <n v="110"/>
    <x v="1"/>
    <s v="Manufacturing Director"/>
    <s v="Married"/>
    <s v="No"/>
    <s v="Y"/>
    <n v="2"/>
    <n v="-2"/>
    <n v="0"/>
    <n v="34"/>
    <n v="0"/>
    <m/>
    <n v="0"/>
    <n v="1"/>
    <n v="1153"/>
    <n v="1"/>
    <s v="Associates Degree"/>
    <n v="1"/>
    <n v="1"/>
    <n v="94"/>
    <n v="3"/>
    <n v="2"/>
    <x v="2"/>
    <n v="4325"/>
    <n v="17736"/>
    <n v="1"/>
    <n v="15"/>
    <n v="3"/>
    <n v="3"/>
    <n v="80"/>
    <n v="0"/>
    <n v="5"/>
    <n v="3"/>
    <n v="5"/>
    <n v="2"/>
    <n v="1"/>
    <n v="3"/>
  </r>
  <r>
    <s v="No"/>
    <s v="Travel_Rarely"/>
    <s v="Over 55"/>
    <s v="Current Employees"/>
    <s v="R&amp;D"/>
    <x v="0"/>
    <s v="STAFF-112"/>
    <n v="112"/>
    <x v="1"/>
    <s v="Manufacturing Director"/>
    <s v="Single"/>
    <s v="No"/>
    <s v="Y"/>
    <n v="3"/>
    <n v="-2"/>
    <n v="0"/>
    <n v="56"/>
    <n v="0"/>
    <m/>
    <n v="0"/>
    <n v="1"/>
    <n v="1400"/>
    <n v="7"/>
    <s v="Bachelor's Degree"/>
    <n v="1"/>
    <n v="4"/>
    <n v="49"/>
    <n v="1"/>
    <n v="3"/>
    <x v="1"/>
    <n v="7260"/>
    <n v="21698"/>
    <n v="4"/>
    <n v="11"/>
    <n v="3"/>
    <n v="1"/>
    <n v="80"/>
    <n v="0"/>
    <n v="37"/>
    <n v="2"/>
    <n v="6"/>
    <n v="4"/>
    <n v="0"/>
    <n v="2"/>
  </r>
  <r>
    <s v="No"/>
    <s v="Travel_Rarely"/>
    <s v="Under 25"/>
    <s v="Current Employees"/>
    <s v="Sales"/>
    <x v="4"/>
    <s v="STAFF-113"/>
    <n v="113"/>
    <x v="1"/>
    <s v="Sales Representative"/>
    <s v="Divorced"/>
    <s v="No"/>
    <s v="Y"/>
    <n v="3"/>
    <n v="-2"/>
    <n v="0"/>
    <n v="23"/>
    <n v="0"/>
    <m/>
    <n v="0"/>
    <n v="1"/>
    <n v="541"/>
    <n v="2"/>
    <s v="High School"/>
    <n v="1"/>
    <n v="3"/>
    <n v="62"/>
    <n v="3"/>
    <n v="1"/>
    <x v="0"/>
    <n v="2322"/>
    <n v="9518"/>
    <n v="3"/>
    <n v="13"/>
    <n v="3"/>
    <n v="3"/>
    <n v="80"/>
    <n v="1"/>
    <n v="3"/>
    <n v="3"/>
    <n v="0"/>
    <n v="0"/>
    <n v="0"/>
    <n v="0"/>
  </r>
  <r>
    <s v="No"/>
    <s v="Travel_Rarely"/>
    <s v="45 - 54"/>
    <s v="Current Employees"/>
    <s v="R&amp;D"/>
    <x v="0"/>
    <s v="STAFF-116"/>
    <n v="116"/>
    <x v="1"/>
    <s v="Laboratory Technician"/>
    <s v="Married"/>
    <s v="No"/>
    <s v="Y"/>
    <n v="4"/>
    <n v="-2"/>
    <n v="0"/>
    <n v="51"/>
    <n v="0"/>
    <m/>
    <n v="0"/>
    <n v="1"/>
    <n v="432"/>
    <n v="9"/>
    <s v="Master's Degree"/>
    <n v="1"/>
    <n v="4"/>
    <n v="96"/>
    <n v="3"/>
    <n v="1"/>
    <x v="1"/>
    <n v="2075"/>
    <n v="18725"/>
    <n v="3"/>
    <n v="23"/>
    <n v="4"/>
    <n v="2"/>
    <n v="80"/>
    <n v="2"/>
    <n v="10"/>
    <n v="3"/>
    <n v="4"/>
    <n v="2"/>
    <n v="0"/>
    <n v="3"/>
  </r>
  <r>
    <s v="No"/>
    <s v="Travel_Rarely"/>
    <s v="25 - 34"/>
    <s v="Current Employees"/>
    <s v="R&amp;D"/>
    <x v="0"/>
    <s v="STAFF-117"/>
    <n v="117"/>
    <x v="1"/>
    <s v="Healthcare Representative"/>
    <s v="Married"/>
    <s v="No"/>
    <s v="Y"/>
    <n v="3"/>
    <n v="-2"/>
    <n v="0"/>
    <n v="30"/>
    <n v="0"/>
    <m/>
    <n v="0"/>
    <n v="1"/>
    <n v="288"/>
    <n v="2"/>
    <s v="Bachelor's Degree"/>
    <n v="1"/>
    <n v="3"/>
    <n v="99"/>
    <n v="2"/>
    <n v="2"/>
    <x v="1"/>
    <n v="4152"/>
    <n v="15830"/>
    <n v="1"/>
    <n v="19"/>
    <n v="3"/>
    <n v="1"/>
    <n v="80"/>
    <n v="3"/>
    <n v="11"/>
    <n v="3"/>
    <n v="11"/>
    <n v="10"/>
    <n v="10"/>
    <n v="8"/>
  </r>
  <r>
    <s v="Yes"/>
    <s v="Travel_Rarely"/>
    <s v="45 - 54"/>
    <s v="Ex-Employees"/>
    <s v="Sales"/>
    <x v="2"/>
    <s v="STAFF-118"/>
    <n v="118"/>
    <x v="1"/>
    <s v="Sales Executive"/>
    <s v="Single"/>
    <s v="No"/>
    <s v="Y"/>
    <n v="3"/>
    <n v="-2"/>
    <n v="0"/>
    <n v="46"/>
    <n v="1"/>
    <n v="1"/>
    <n v="1"/>
    <n v="0"/>
    <n v="669"/>
    <n v="9"/>
    <s v="Associates Degree"/>
    <n v="1"/>
    <n v="3"/>
    <n v="64"/>
    <n v="2"/>
    <n v="3"/>
    <x v="0"/>
    <n v="9619"/>
    <n v="13596"/>
    <n v="1"/>
    <n v="16"/>
    <n v="3"/>
    <n v="4"/>
    <n v="80"/>
    <n v="0"/>
    <n v="9"/>
    <n v="3"/>
    <n v="9"/>
    <n v="8"/>
    <n v="4"/>
    <n v="7"/>
  </r>
  <r>
    <s v="No"/>
    <s v="Travel_Frequently"/>
    <s v="35 - 44"/>
    <s v="Current Employees"/>
    <s v="R&amp;D"/>
    <x v="0"/>
    <s v="STAFF-119"/>
    <n v="119"/>
    <x v="1"/>
    <s v="Healthcare Representative"/>
    <s v="Married"/>
    <s v="No"/>
    <s v="Y"/>
    <n v="3"/>
    <n v="-2"/>
    <n v="0"/>
    <n v="40"/>
    <n v="0"/>
    <m/>
    <n v="0"/>
    <n v="1"/>
    <n v="530"/>
    <n v="1"/>
    <s v="Master's Degree"/>
    <n v="1"/>
    <n v="3"/>
    <n v="78"/>
    <n v="2"/>
    <n v="4"/>
    <x v="1"/>
    <n v="13503"/>
    <n v="14115"/>
    <n v="1"/>
    <n v="22"/>
    <n v="4"/>
    <n v="4"/>
    <n v="80"/>
    <n v="1"/>
    <n v="22"/>
    <n v="2"/>
    <n v="22"/>
    <n v="3"/>
    <n v="11"/>
    <n v="11"/>
  </r>
  <r>
    <s v="No"/>
    <s v="Travel_Rarely"/>
    <s v="45 - 54"/>
    <s v="Current Employees"/>
    <s v="Sales"/>
    <x v="3"/>
    <s v="STAFF-120"/>
    <n v="120"/>
    <x v="1"/>
    <s v="Sales Executive"/>
    <s v="Single"/>
    <s v="Yes"/>
    <s v="Y"/>
    <n v="2"/>
    <n v="-2"/>
    <n v="0"/>
    <n v="51"/>
    <n v="0"/>
    <m/>
    <n v="0"/>
    <n v="1"/>
    <n v="632"/>
    <n v="21"/>
    <s v="Master's Degree"/>
    <n v="1"/>
    <n v="3"/>
    <n v="71"/>
    <n v="3"/>
    <n v="2"/>
    <x v="0"/>
    <n v="5441"/>
    <n v="8423"/>
    <n v="0"/>
    <n v="22"/>
    <n v="4"/>
    <n v="4"/>
    <n v="80"/>
    <n v="0"/>
    <n v="11"/>
    <n v="1"/>
    <n v="10"/>
    <n v="7"/>
    <n v="1"/>
    <n v="0"/>
  </r>
  <r>
    <s v="No"/>
    <s v="Travel_Rarely"/>
    <s v="25 - 34"/>
    <s v="Current Employees"/>
    <s v="Sales"/>
    <x v="2"/>
    <s v="STAFF-121"/>
    <n v="121"/>
    <x v="0"/>
    <s v="Sales Executive"/>
    <s v="Divorced"/>
    <s v="Yes"/>
    <s v="Y"/>
    <n v="4"/>
    <n v="-2"/>
    <n v="0"/>
    <n v="30"/>
    <n v="0"/>
    <m/>
    <n v="0"/>
    <n v="1"/>
    <n v="1334"/>
    <n v="4"/>
    <s v="Associates Degree"/>
    <n v="1"/>
    <n v="3"/>
    <n v="63"/>
    <n v="2"/>
    <n v="2"/>
    <x v="2"/>
    <n v="5209"/>
    <n v="19760"/>
    <n v="1"/>
    <n v="12"/>
    <n v="3"/>
    <n v="2"/>
    <n v="80"/>
    <n v="3"/>
    <n v="11"/>
    <n v="2"/>
    <n v="11"/>
    <n v="8"/>
    <n v="2"/>
    <n v="7"/>
  </r>
  <r>
    <s v="No"/>
    <s v="Travel_Frequently"/>
    <s v="45 - 54"/>
    <s v="Current Employees"/>
    <s v="R&amp;D"/>
    <x v="2"/>
    <s v="STAFF-124"/>
    <n v="124"/>
    <x v="1"/>
    <s v="Healthcare Representative"/>
    <s v="Married"/>
    <s v="Yes"/>
    <s v="Y"/>
    <n v="5"/>
    <n v="-2"/>
    <n v="0"/>
    <n v="46"/>
    <n v="0"/>
    <m/>
    <n v="0"/>
    <n v="1"/>
    <n v="638"/>
    <n v="1"/>
    <s v="Bachelor's Degree"/>
    <n v="1"/>
    <n v="3"/>
    <n v="40"/>
    <n v="2"/>
    <n v="3"/>
    <x v="0"/>
    <n v="10673"/>
    <n v="3142"/>
    <n v="2"/>
    <n v="13"/>
    <n v="3"/>
    <n v="3"/>
    <n v="80"/>
    <n v="1"/>
    <n v="21"/>
    <n v="2"/>
    <n v="10"/>
    <n v="9"/>
    <n v="9"/>
    <n v="5"/>
  </r>
  <r>
    <s v="No"/>
    <s v="Travel_Rarely"/>
    <s v="25 - 34"/>
    <s v="Current Employees"/>
    <s v="Sales"/>
    <x v="2"/>
    <s v="STAFF-125"/>
    <n v="125"/>
    <x v="1"/>
    <s v="Sales Executive"/>
    <s v="Single"/>
    <s v="No"/>
    <s v="Y"/>
    <n v="0"/>
    <n v="-2"/>
    <n v="0"/>
    <n v="32"/>
    <n v="0"/>
    <m/>
    <n v="0"/>
    <n v="1"/>
    <n v="1093"/>
    <n v="6"/>
    <s v="Master's Degree"/>
    <n v="1"/>
    <n v="2"/>
    <n v="87"/>
    <n v="3"/>
    <n v="2"/>
    <x v="2"/>
    <n v="5010"/>
    <n v="24301"/>
    <n v="1"/>
    <n v="16"/>
    <n v="3"/>
    <n v="1"/>
    <n v="80"/>
    <n v="0"/>
    <n v="12"/>
    <n v="3"/>
    <n v="11"/>
    <n v="8"/>
    <n v="5"/>
    <n v="7"/>
  </r>
  <r>
    <s v="No"/>
    <s v="Travel_Rarely"/>
    <s v="45 - 54"/>
    <s v="Current Employees"/>
    <s v="R&amp;D"/>
    <x v="4"/>
    <s v="STAFF-126"/>
    <n v="126"/>
    <x v="0"/>
    <s v="Research Director"/>
    <s v="Married"/>
    <s v="No"/>
    <s v="Y"/>
    <n v="5"/>
    <n v="-2"/>
    <n v="0"/>
    <n v="54"/>
    <n v="0"/>
    <m/>
    <n v="0"/>
    <n v="1"/>
    <n v="1217"/>
    <n v="2"/>
    <s v="Master's Degree"/>
    <n v="1"/>
    <n v="1"/>
    <n v="60"/>
    <n v="3"/>
    <n v="3"/>
    <x v="2"/>
    <n v="13549"/>
    <n v="24001"/>
    <n v="9"/>
    <n v="12"/>
    <n v="3"/>
    <n v="1"/>
    <n v="80"/>
    <n v="1"/>
    <n v="16"/>
    <n v="1"/>
    <n v="4"/>
    <n v="3"/>
    <n v="0"/>
    <n v="3"/>
  </r>
  <r>
    <s v="No"/>
    <s v="Travel_Rarely"/>
    <s v="Under 25"/>
    <s v="Current Employees"/>
    <s v="Sales"/>
    <x v="1"/>
    <s v="STAFF-128"/>
    <n v="128"/>
    <x v="0"/>
    <s v="Sales Executive"/>
    <s v="Married"/>
    <s v="No"/>
    <s v="Y"/>
    <n v="2"/>
    <n v="-2"/>
    <n v="0"/>
    <n v="24"/>
    <n v="0"/>
    <m/>
    <n v="0"/>
    <n v="1"/>
    <n v="1353"/>
    <n v="3"/>
    <s v="Associates Degree"/>
    <n v="1"/>
    <n v="1"/>
    <n v="33"/>
    <n v="3"/>
    <n v="2"/>
    <x v="2"/>
    <n v="4999"/>
    <n v="17519"/>
    <n v="0"/>
    <n v="21"/>
    <n v="4"/>
    <n v="1"/>
    <n v="80"/>
    <n v="1"/>
    <n v="4"/>
    <n v="2"/>
    <n v="3"/>
    <n v="2"/>
    <n v="0"/>
    <n v="2"/>
  </r>
  <r>
    <s v="No"/>
    <s v="Non-Travel"/>
    <s v="25 - 34"/>
    <s v="Current Employees"/>
    <s v="Sales"/>
    <x v="2"/>
    <s v="STAFF-129"/>
    <n v="129"/>
    <x v="1"/>
    <s v="Sales Executive"/>
    <s v="Married"/>
    <s v="No"/>
    <s v="Y"/>
    <n v="3"/>
    <n v="-2"/>
    <n v="0"/>
    <n v="28"/>
    <n v="0"/>
    <m/>
    <n v="0"/>
    <n v="1"/>
    <n v="120"/>
    <n v="4"/>
    <s v="Bachelor's Degree"/>
    <n v="1"/>
    <n v="2"/>
    <n v="43"/>
    <n v="3"/>
    <n v="2"/>
    <x v="2"/>
    <n v="4221"/>
    <n v="8863"/>
    <n v="1"/>
    <n v="15"/>
    <n v="3"/>
    <n v="2"/>
    <n v="80"/>
    <n v="0"/>
    <n v="5"/>
    <n v="4"/>
    <n v="5"/>
    <n v="4"/>
    <n v="0"/>
    <n v="4"/>
  </r>
  <r>
    <s v="No"/>
    <s v="Travel_Rarely"/>
    <s v="Over 55"/>
    <s v="Current Employees"/>
    <s v="Sales"/>
    <x v="2"/>
    <s v="STAFF-131"/>
    <n v="131"/>
    <x v="1"/>
    <s v="Sales Executive"/>
    <s v="Single"/>
    <s v="No"/>
    <s v="Y"/>
    <n v="1"/>
    <n v="-2"/>
    <n v="0"/>
    <n v="58"/>
    <n v="0"/>
    <m/>
    <n v="0"/>
    <n v="1"/>
    <n v="682"/>
    <n v="10"/>
    <s v="Master's Degree"/>
    <n v="1"/>
    <n v="4"/>
    <n v="37"/>
    <n v="3"/>
    <n v="4"/>
    <x v="2"/>
    <n v="13872"/>
    <n v="24409"/>
    <n v="0"/>
    <n v="13"/>
    <n v="3"/>
    <n v="3"/>
    <n v="80"/>
    <n v="0"/>
    <n v="38"/>
    <n v="2"/>
    <n v="37"/>
    <n v="10"/>
    <n v="1"/>
    <n v="8"/>
  </r>
  <r>
    <s v="No"/>
    <s v="Non-Travel"/>
    <s v="35 - 44"/>
    <s v="Current Employees"/>
    <s v="R&amp;D"/>
    <x v="2"/>
    <s v="STAFF-132"/>
    <n v="132"/>
    <x v="1"/>
    <s v="Laboratory Technician"/>
    <s v="Married"/>
    <s v="No"/>
    <s v="Y"/>
    <n v="3"/>
    <n v="-2"/>
    <n v="0"/>
    <n v="44"/>
    <n v="0"/>
    <m/>
    <n v="0"/>
    <n v="1"/>
    <n v="489"/>
    <n v="23"/>
    <s v="Bachelor's Degree"/>
    <n v="1"/>
    <n v="2"/>
    <n v="67"/>
    <n v="3"/>
    <n v="2"/>
    <x v="2"/>
    <n v="2042"/>
    <n v="25043"/>
    <n v="4"/>
    <n v="12"/>
    <n v="3"/>
    <n v="3"/>
    <n v="80"/>
    <n v="1"/>
    <n v="17"/>
    <n v="4"/>
    <n v="3"/>
    <n v="2"/>
    <n v="1"/>
    <n v="2"/>
  </r>
  <r>
    <s v="Yes"/>
    <s v="Travel_Rarely"/>
    <s v="35 - 44"/>
    <s v="Ex-Employees"/>
    <s v="HR"/>
    <x v="5"/>
    <s v="STAFF-133"/>
    <n v="133"/>
    <x v="1"/>
    <s v="Human Resources"/>
    <s v="Divorced"/>
    <s v="Yes"/>
    <s v="Y"/>
    <n v="3"/>
    <n v="-2"/>
    <n v="0"/>
    <n v="37"/>
    <n v="1"/>
    <n v="1"/>
    <n v="1"/>
    <n v="0"/>
    <n v="807"/>
    <n v="6"/>
    <s v="Master's Degree"/>
    <n v="1"/>
    <n v="3"/>
    <n v="63"/>
    <n v="3"/>
    <n v="1"/>
    <x v="0"/>
    <n v="2073"/>
    <n v="23648"/>
    <n v="4"/>
    <n v="22"/>
    <n v="4"/>
    <n v="4"/>
    <n v="80"/>
    <n v="0"/>
    <n v="7"/>
    <n v="3"/>
    <n v="3"/>
    <n v="2"/>
    <n v="0"/>
    <n v="2"/>
  </r>
  <r>
    <s v="No"/>
    <s v="Travel_Rarely"/>
    <s v="25 - 34"/>
    <s v="Current Employees"/>
    <s v="R&amp;D"/>
    <x v="0"/>
    <s v="STAFF-134"/>
    <n v="134"/>
    <x v="1"/>
    <s v="Research Scientist"/>
    <s v="Single"/>
    <s v="No"/>
    <s v="Y"/>
    <n v="2"/>
    <n v="-2"/>
    <n v="0"/>
    <n v="32"/>
    <n v="0"/>
    <m/>
    <n v="0"/>
    <n v="1"/>
    <n v="827"/>
    <n v="1"/>
    <s v="High School"/>
    <n v="1"/>
    <n v="4"/>
    <n v="71"/>
    <n v="3"/>
    <n v="1"/>
    <x v="1"/>
    <n v="2956"/>
    <n v="15178"/>
    <n v="1"/>
    <n v="13"/>
    <n v="3"/>
    <n v="4"/>
    <n v="80"/>
    <n v="0"/>
    <n v="1"/>
    <n v="3"/>
    <n v="1"/>
    <n v="0"/>
    <n v="0"/>
    <n v="0"/>
  </r>
  <r>
    <s v="Yes"/>
    <s v="Travel_Frequently"/>
    <s v="Under 25"/>
    <s v="Ex-Employees"/>
    <s v="R&amp;D"/>
    <x v="0"/>
    <s v="STAFF-137"/>
    <n v="137"/>
    <x v="0"/>
    <s v="Laboratory Technician"/>
    <s v="Single"/>
    <s v="Yes"/>
    <s v="Y"/>
    <n v="5"/>
    <n v="-2"/>
    <n v="0"/>
    <n v="20"/>
    <n v="1"/>
    <n v="1"/>
    <n v="1"/>
    <n v="0"/>
    <n v="871"/>
    <n v="6"/>
    <s v="Bachelor's Degree"/>
    <n v="1"/>
    <n v="4"/>
    <n v="66"/>
    <n v="2"/>
    <n v="1"/>
    <x v="1"/>
    <n v="2926"/>
    <n v="19783"/>
    <n v="1"/>
    <n v="18"/>
    <n v="3"/>
    <n v="2"/>
    <n v="80"/>
    <n v="0"/>
    <n v="1"/>
    <n v="3"/>
    <n v="1"/>
    <n v="0"/>
    <n v="1"/>
    <n v="0"/>
  </r>
  <r>
    <s v="No"/>
    <s v="Travel_Rarely"/>
    <s v="25 - 34"/>
    <s v="Current Employees"/>
    <s v="R&amp;D"/>
    <x v="1"/>
    <s v="STAFF-138"/>
    <n v="138"/>
    <x v="0"/>
    <s v="Research Scientist"/>
    <s v="Single"/>
    <s v="No"/>
    <s v="Y"/>
    <n v="3"/>
    <n v="-2"/>
    <n v="0"/>
    <n v="34"/>
    <n v="0"/>
    <m/>
    <n v="0"/>
    <n v="1"/>
    <n v="665"/>
    <n v="6"/>
    <s v="Master's Degree"/>
    <n v="1"/>
    <n v="1"/>
    <n v="41"/>
    <n v="3"/>
    <n v="2"/>
    <x v="2"/>
    <n v="4809"/>
    <n v="12482"/>
    <n v="1"/>
    <n v="14"/>
    <n v="3"/>
    <n v="3"/>
    <n v="80"/>
    <n v="0"/>
    <n v="16"/>
    <n v="3"/>
    <n v="16"/>
    <n v="13"/>
    <n v="2"/>
    <n v="10"/>
  </r>
  <r>
    <s v="No"/>
    <s v="Non-Travel"/>
    <s v="35 - 44"/>
    <s v="Current Employees"/>
    <s v="R&amp;D"/>
    <x v="0"/>
    <s v="STAFF-139"/>
    <n v="139"/>
    <x v="1"/>
    <s v="Healthcare Representative"/>
    <s v="Divorced"/>
    <s v="No"/>
    <s v="Y"/>
    <n v="2"/>
    <n v="-2"/>
    <n v="0"/>
    <n v="37"/>
    <n v="0"/>
    <m/>
    <n v="0"/>
    <n v="1"/>
    <n v="1040"/>
    <n v="2"/>
    <s v="Associates Degree"/>
    <n v="1"/>
    <n v="3"/>
    <n v="100"/>
    <n v="2"/>
    <n v="2"/>
    <x v="1"/>
    <n v="5163"/>
    <n v="15850"/>
    <n v="5"/>
    <n v="14"/>
    <n v="3"/>
    <n v="4"/>
    <n v="80"/>
    <n v="1"/>
    <n v="17"/>
    <n v="4"/>
    <n v="1"/>
    <n v="0"/>
    <n v="0"/>
    <n v="0"/>
  </r>
  <r>
    <s v="No"/>
    <s v="Non-Travel"/>
    <s v="Over 55"/>
    <s v="Current Employees"/>
    <s v="HR"/>
    <x v="5"/>
    <s v="STAFF-140"/>
    <n v="140"/>
    <x v="0"/>
    <s v="Manager"/>
    <s v="Married"/>
    <s v="No"/>
    <s v="Y"/>
    <n v="3"/>
    <n v="-2"/>
    <n v="0"/>
    <n v="59"/>
    <n v="0"/>
    <m/>
    <n v="0"/>
    <n v="1"/>
    <n v="1420"/>
    <n v="2"/>
    <s v="Master's Degree"/>
    <n v="1"/>
    <n v="3"/>
    <n v="32"/>
    <n v="2"/>
    <n v="5"/>
    <x v="0"/>
    <n v="18844"/>
    <n v="21922"/>
    <n v="9"/>
    <n v="21"/>
    <n v="4"/>
    <n v="4"/>
    <n v="80"/>
    <n v="1"/>
    <n v="30"/>
    <n v="3"/>
    <n v="3"/>
    <n v="2"/>
    <n v="2"/>
    <n v="2"/>
  </r>
  <r>
    <s v="No"/>
    <s v="Travel_Frequently"/>
    <s v="45 - 54"/>
    <s v="Current Employees"/>
    <s v="R&amp;D"/>
    <x v="0"/>
    <s v="STAFF-141"/>
    <n v="141"/>
    <x v="0"/>
    <s v="Research Director"/>
    <s v="Married"/>
    <s v="Yes"/>
    <s v="Y"/>
    <n v="1"/>
    <n v="-2"/>
    <n v="0"/>
    <n v="50"/>
    <n v="0"/>
    <m/>
    <n v="0"/>
    <n v="1"/>
    <n v="1115"/>
    <n v="1"/>
    <s v="Bachelor's Degree"/>
    <n v="1"/>
    <n v="1"/>
    <n v="73"/>
    <n v="3"/>
    <n v="5"/>
    <x v="1"/>
    <n v="18172"/>
    <n v="9755"/>
    <n v="3"/>
    <n v="19"/>
    <n v="3"/>
    <n v="1"/>
    <n v="80"/>
    <n v="0"/>
    <n v="28"/>
    <n v="2"/>
    <n v="8"/>
    <n v="3"/>
    <n v="0"/>
    <n v="7"/>
  </r>
  <r>
    <s v="Yes"/>
    <s v="Travel_Rarely"/>
    <s v="25 - 34"/>
    <s v="Ex-Employees"/>
    <s v="Sales"/>
    <x v="3"/>
    <s v="STAFF-142"/>
    <n v="142"/>
    <x v="1"/>
    <s v="Sales Executive"/>
    <s v="Single"/>
    <s v="Yes"/>
    <s v="Y"/>
    <n v="1"/>
    <n v="-2"/>
    <n v="0"/>
    <n v="25"/>
    <n v="1"/>
    <n v="1"/>
    <n v="1"/>
    <n v="0"/>
    <n v="240"/>
    <n v="5"/>
    <s v="Bachelor's Degree"/>
    <n v="1"/>
    <n v="3"/>
    <n v="46"/>
    <n v="2"/>
    <n v="2"/>
    <x v="2"/>
    <n v="5744"/>
    <n v="26959"/>
    <n v="1"/>
    <n v="11"/>
    <n v="3"/>
    <n v="4"/>
    <n v="80"/>
    <n v="0"/>
    <n v="6"/>
    <n v="3"/>
    <n v="6"/>
    <n v="4"/>
    <n v="0"/>
    <n v="3"/>
  </r>
  <r>
    <s v="No"/>
    <s v="Travel_Rarely"/>
    <s v="25 - 34"/>
    <s v="Current Employees"/>
    <s v="R&amp;D"/>
    <x v="2"/>
    <s v="STAFF-143"/>
    <n v="143"/>
    <x v="1"/>
    <s v="Research Scientist"/>
    <s v="Married"/>
    <s v="No"/>
    <s v="Y"/>
    <n v="2"/>
    <n v="-2"/>
    <n v="0"/>
    <n v="25"/>
    <n v="0"/>
    <m/>
    <n v="0"/>
    <n v="1"/>
    <n v="1280"/>
    <n v="7"/>
    <s v="High School"/>
    <n v="1"/>
    <n v="4"/>
    <n v="64"/>
    <n v="2"/>
    <n v="1"/>
    <x v="0"/>
    <n v="2889"/>
    <n v="26897"/>
    <n v="1"/>
    <n v="11"/>
    <n v="3"/>
    <n v="3"/>
    <n v="80"/>
    <n v="2"/>
    <n v="2"/>
    <n v="3"/>
    <n v="2"/>
    <n v="2"/>
    <n v="2"/>
    <n v="1"/>
  </r>
  <r>
    <s v="No"/>
    <s v="Travel_Rarely"/>
    <s v="Under 25"/>
    <s v="Current Employees"/>
    <s v="R&amp;D"/>
    <x v="2"/>
    <s v="STAFF-144"/>
    <n v="144"/>
    <x v="0"/>
    <s v="Laboratory Technician"/>
    <s v="Single"/>
    <s v="No"/>
    <s v="Y"/>
    <n v="5"/>
    <n v="-2"/>
    <n v="0"/>
    <n v="22"/>
    <n v="0"/>
    <m/>
    <n v="0"/>
    <n v="1"/>
    <n v="534"/>
    <n v="15"/>
    <s v="Bachelor's Degree"/>
    <n v="1"/>
    <n v="2"/>
    <n v="59"/>
    <n v="3"/>
    <n v="1"/>
    <x v="0"/>
    <n v="2871"/>
    <n v="23785"/>
    <n v="1"/>
    <n v="15"/>
    <n v="3"/>
    <n v="3"/>
    <n v="80"/>
    <n v="0"/>
    <n v="1"/>
    <n v="3"/>
    <n v="0"/>
    <n v="0"/>
    <n v="0"/>
    <n v="0"/>
  </r>
  <r>
    <s v="No"/>
    <s v="Travel_Frequently"/>
    <s v="45 - 54"/>
    <s v="Current Employees"/>
    <s v="R&amp;D"/>
    <x v="2"/>
    <s v="STAFF-145"/>
    <n v="145"/>
    <x v="0"/>
    <s v="Healthcare Representative"/>
    <s v="Single"/>
    <s v="No"/>
    <s v="Y"/>
    <n v="1"/>
    <n v="-2"/>
    <n v="0"/>
    <n v="51"/>
    <n v="0"/>
    <m/>
    <n v="0"/>
    <n v="1"/>
    <n v="1456"/>
    <n v="1"/>
    <s v="Master's Degree"/>
    <n v="1"/>
    <n v="1"/>
    <n v="30"/>
    <n v="2"/>
    <n v="3"/>
    <x v="0"/>
    <n v="7484"/>
    <n v="25796"/>
    <n v="3"/>
    <n v="20"/>
    <n v="4"/>
    <n v="3"/>
    <n v="80"/>
    <n v="0"/>
    <n v="23"/>
    <n v="2"/>
    <n v="13"/>
    <n v="12"/>
    <n v="12"/>
    <n v="8"/>
  </r>
  <r>
    <s v="Yes"/>
    <s v="Travel_Frequently"/>
    <s v="25 - 34"/>
    <s v="Ex-Employees"/>
    <s v="R&amp;D"/>
    <x v="0"/>
    <s v="STAFF-147"/>
    <n v="147"/>
    <x v="1"/>
    <s v="Laboratory Technician"/>
    <s v="Single"/>
    <s v="Yes"/>
    <s v="Y"/>
    <n v="3"/>
    <n v="-2"/>
    <n v="0"/>
    <n v="34"/>
    <n v="1"/>
    <n v="1"/>
    <n v="1"/>
    <n v="0"/>
    <n v="658"/>
    <n v="7"/>
    <s v="Bachelor's Degree"/>
    <n v="1"/>
    <n v="1"/>
    <n v="66"/>
    <n v="1"/>
    <n v="2"/>
    <x v="1"/>
    <n v="6074"/>
    <n v="22887"/>
    <n v="1"/>
    <n v="24"/>
    <n v="4"/>
    <n v="4"/>
    <n v="80"/>
    <n v="0"/>
    <n v="9"/>
    <n v="3"/>
    <n v="9"/>
    <n v="7"/>
    <n v="0"/>
    <n v="6"/>
  </r>
  <r>
    <s v="No"/>
    <s v="Non-Travel"/>
    <s v="45 - 54"/>
    <s v="Current Employees"/>
    <s v="HR"/>
    <x v="5"/>
    <s v="STAFF-148"/>
    <n v="148"/>
    <x v="0"/>
    <s v="Manager"/>
    <s v="Single"/>
    <s v="Yes"/>
    <s v="Y"/>
    <n v="3"/>
    <n v="-2"/>
    <n v="0"/>
    <n v="54"/>
    <n v="0"/>
    <m/>
    <n v="0"/>
    <n v="1"/>
    <n v="142"/>
    <n v="26"/>
    <s v="Bachelor's Degree"/>
    <n v="1"/>
    <n v="4"/>
    <n v="30"/>
    <n v="4"/>
    <n v="4"/>
    <x v="0"/>
    <n v="17328"/>
    <n v="13871"/>
    <n v="2"/>
    <n v="12"/>
    <n v="3"/>
    <n v="3"/>
    <n v="80"/>
    <n v="0"/>
    <n v="23"/>
    <n v="3"/>
    <n v="5"/>
    <n v="3"/>
    <n v="4"/>
    <n v="4"/>
  </r>
  <r>
    <s v="No"/>
    <s v="Travel_Rarely"/>
    <s v="Under 25"/>
    <s v="Current Employees"/>
    <s v="R&amp;D"/>
    <x v="0"/>
    <s v="STAFF-150"/>
    <n v="150"/>
    <x v="1"/>
    <s v="Laboratory Technician"/>
    <s v="Married"/>
    <s v="No"/>
    <s v="Y"/>
    <n v="2"/>
    <n v="-2"/>
    <n v="0"/>
    <n v="24"/>
    <n v="0"/>
    <m/>
    <n v="0"/>
    <n v="1"/>
    <n v="1127"/>
    <n v="18"/>
    <s v="High School"/>
    <n v="1"/>
    <n v="2"/>
    <n v="52"/>
    <n v="3"/>
    <n v="1"/>
    <x v="1"/>
    <n v="2774"/>
    <n v="13257"/>
    <n v="0"/>
    <n v="12"/>
    <n v="3"/>
    <n v="3"/>
    <n v="80"/>
    <n v="1"/>
    <n v="6"/>
    <n v="3"/>
    <n v="5"/>
    <n v="3"/>
    <n v="1"/>
    <n v="2"/>
  </r>
  <r>
    <s v="No"/>
    <s v="Travel_Rarely"/>
    <s v="25 - 34"/>
    <s v="Current Employees"/>
    <s v="R&amp;D"/>
    <x v="0"/>
    <s v="STAFF-151"/>
    <n v="151"/>
    <x v="0"/>
    <s v="Research Scientist"/>
    <s v="Divorced"/>
    <s v="No"/>
    <s v="Y"/>
    <n v="3"/>
    <n v="-2"/>
    <n v="0"/>
    <n v="34"/>
    <n v="0"/>
    <m/>
    <n v="0"/>
    <n v="1"/>
    <n v="1031"/>
    <n v="6"/>
    <s v="Master's Degree"/>
    <n v="1"/>
    <n v="3"/>
    <n v="45"/>
    <n v="2"/>
    <n v="2"/>
    <x v="1"/>
    <n v="4505"/>
    <n v="15000"/>
    <n v="6"/>
    <n v="15"/>
    <n v="3"/>
    <n v="3"/>
    <n v="80"/>
    <n v="1"/>
    <n v="12"/>
    <n v="3"/>
    <n v="1"/>
    <n v="0"/>
    <n v="0"/>
    <n v="0"/>
  </r>
  <r>
    <s v="No"/>
    <s v="Travel_Rarely"/>
    <s v="35 - 44"/>
    <s v="Current Employees"/>
    <s v="Sales"/>
    <x v="0"/>
    <s v="STAFF-152"/>
    <n v="152"/>
    <x v="1"/>
    <s v="Sales Executive"/>
    <s v="Single"/>
    <s v="No"/>
    <s v="Y"/>
    <n v="3"/>
    <n v="-2"/>
    <n v="0"/>
    <n v="37"/>
    <n v="0"/>
    <m/>
    <n v="0"/>
    <n v="1"/>
    <n v="1189"/>
    <n v="3"/>
    <s v="Bachelor's Degree"/>
    <n v="1"/>
    <n v="3"/>
    <n v="87"/>
    <n v="3"/>
    <n v="3"/>
    <x v="1"/>
    <n v="7428"/>
    <n v="14506"/>
    <n v="2"/>
    <n v="12"/>
    <n v="3"/>
    <n v="1"/>
    <n v="80"/>
    <n v="0"/>
    <n v="12"/>
    <n v="3"/>
    <n v="5"/>
    <n v="3"/>
    <n v="1"/>
    <n v="3"/>
  </r>
  <r>
    <s v="No"/>
    <s v="Travel_Rarely"/>
    <s v="25 - 34"/>
    <s v="Current Employees"/>
    <s v="R&amp;D"/>
    <x v="2"/>
    <s v="STAFF-153"/>
    <n v="153"/>
    <x v="0"/>
    <s v="Manager"/>
    <s v="Single"/>
    <s v="No"/>
    <s v="Y"/>
    <n v="6"/>
    <n v="-2"/>
    <n v="0"/>
    <n v="34"/>
    <n v="0"/>
    <m/>
    <n v="0"/>
    <n v="1"/>
    <n v="1354"/>
    <n v="5"/>
    <s v="Bachelor's Degree"/>
    <n v="1"/>
    <n v="3"/>
    <n v="45"/>
    <n v="2"/>
    <n v="3"/>
    <x v="0"/>
    <n v="11631"/>
    <n v="5615"/>
    <n v="2"/>
    <n v="12"/>
    <n v="3"/>
    <n v="4"/>
    <n v="80"/>
    <n v="0"/>
    <n v="14"/>
    <n v="3"/>
    <n v="11"/>
    <n v="10"/>
    <n v="5"/>
    <n v="8"/>
  </r>
  <r>
    <s v="No"/>
    <s v="Travel_Frequently"/>
    <s v="35 - 44"/>
    <s v="Current Employees"/>
    <s v="Sales"/>
    <x v="4"/>
    <s v="STAFF-154"/>
    <n v="154"/>
    <x v="0"/>
    <s v="Sales Executive"/>
    <s v="Married"/>
    <s v="No"/>
    <s v="Y"/>
    <n v="6"/>
    <n v="-2"/>
    <n v="0"/>
    <n v="36"/>
    <n v="0"/>
    <m/>
    <n v="0"/>
    <n v="1"/>
    <n v="1467"/>
    <n v="11"/>
    <s v="Associates Degree"/>
    <n v="1"/>
    <n v="2"/>
    <n v="92"/>
    <n v="3"/>
    <n v="3"/>
    <x v="0"/>
    <n v="9738"/>
    <n v="22952"/>
    <n v="0"/>
    <n v="14"/>
    <n v="3"/>
    <n v="3"/>
    <n v="80"/>
    <n v="1"/>
    <n v="10"/>
    <n v="3"/>
    <n v="9"/>
    <n v="7"/>
    <n v="2"/>
    <n v="8"/>
  </r>
  <r>
    <s v="No"/>
    <s v="Travel_Rarely"/>
    <s v="35 - 44"/>
    <s v="Current Employees"/>
    <s v="R&amp;D"/>
    <x v="0"/>
    <s v="STAFF-155"/>
    <n v="155"/>
    <x v="0"/>
    <s v="Laboratory Technician"/>
    <s v="Divorced"/>
    <s v="No"/>
    <s v="Y"/>
    <n v="2"/>
    <n v="-2"/>
    <n v="0"/>
    <n v="36"/>
    <n v="0"/>
    <m/>
    <n v="0"/>
    <n v="1"/>
    <n v="922"/>
    <n v="3"/>
    <s v="Associates Degree"/>
    <n v="1"/>
    <n v="1"/>
    <n v="39"/>
    <n v="3"/>
    <n v="1"/>
    <x v="1"/>
    <n v="2835"/>
    <n v="2561"/>
    <n v="5"/>
    <n v="22"/>
    <n v="4"/>
    <n v="1"/>
    <n v="80"/>
    <n v="1"/>
    <n v="7"/>
    <n v="3"/>
    <n v="1"/>
    <n v="0"/>
    <n v="0"/>
    <n v="0"/>
  </r>
  <r>
    <s v="No"/>
    <s v="Travel_Frequently"/>
    <s v="35 - 44"/>
    <s v="Current Employees"/>
    <s v="Sales"/>
    <x v="0"/>
    <s v="STAFF-158"/>
    <n v="158"/>
    <x v="1"/>
    <s v="Manager"/>
    <s v="Married"/>
    <s v="Yes"/>
    <s v="Y"/>
    <n v="3"/>
    <n v="-2"/>
    <n v="0"/>
    <n v="43"/>
    <n v="0"/>
    <m/>
    <n v="0"/>
    <n v="1"/>
    <n v="394"/>
    <n v="26"/>
    <s v="Associates Degree"/>
    <n v="1"/>
    <n v="3"/>
    <n v="92"/>
    <n v="3"/>
    <n v="4"/>
    <x v="1"/>
    <n v="16959"/>
    <n v="19494"/>
    <n v="1"/>
    <n v="12"/>
    <n v="3"/>
    <n v="4"/>
    <n v="80"/>
    <n v="2"/>
    <n v="25"/>
    <n v="4"/>
    <n v="25"/>
    <n v="12"/>
    <n v="4"/>
    <n v="12"/>
  </r>
  <r>
    <s v="No"/>
    <s v="Travel_Frequently"/>
    <s v="25 - 34"/>
    <s v="Current Employees"/>
    <s v="R&amp;D"/>
    <x v="0"/>
    <s v="STAFF-159"/>
    <n v="159"/>
    <x v="1"/>
    <s v="Research Scientist"/>
    <s v="Divorced"/>
    <s v="No"/>
    <s v="Y"/>
    <n v="2"/>
    <n v="-2"/>
    <n v="0"/>
    <n v="30"/>
    <n v="0"/>
    <m/>
    <n v="0"/>
    <n v="1"/>
    <n v="1312"/>
    <n v="23"/>
    <s v="Bachelor's Degree"/>
    <n v="1"/>
    <n v="1"/>
    <n v="96"/>
    <n v="1"/>
    <n v="1"/>
    <x v="1"/>
    <n v="2613"/>
    <n v="22310"/>
    <n v="1"/>
    <n v="25"/>
    <n v="4"/>
    <n v="3"/>
    <n v="80"/>
    <n v="3"/>
    <n v="10"/>
    <n v="2"/>
    <n v="10"/>
    <n v="7"/>
    <n v="0"/>
    <n v="9"/>
  </r>
  <r>
    <s v="No"/>
    <s v="Non-Travel"/>
    <s v="25 - 34"/>
    <s v="Current Employees"/>
    <s v="Sales"/>
    <x v="3"/>
    <s v="STAFF-160"/>
    <n v="160"/>
    <x v="1"/>
    <s v="Sales Executive"/>
    <s v="Married"/>
    <s v="No"/>
    <s v="Y"/>
    <n v="2"/>
    <n v="-2"/>
    <n v="0"/>
    <n v="33"/>
    <n v="0"/>
    <m/>
    <n v="0"/>
    <n v="1"/>
    <n v="750"/>
    <n v="22"/>
    <s v="Associates Degree"/>
    <n v="1"/>
    <n v="3"/>
    <n v="95"/>
    <n v="3"/>
    <n v="2"/>
    <x v="2"/>
    <n v="6146"/>
    <n v="15480"/>
    <n v="0"/>
    <n v="13"/>
    <n v="3"/>
    <n v="1"/>
    <n v="80"/>
    <n v="1"/>
    <n v="8"/>
    <n v="4"/>
    <n v="7"/>
    <n v="7"/>
    <n v="0"/>
    <n v="7"/>
  </r>
  <r>
    <s v="Yes"/>
    <s v="Travel_Rarely"/>
    <s v="Over 55"/>
    <s v="Ex-Employees"/>
    <s v="R&amp;D"/>
    <x v="0"/>
    <s v="STAFF-161"/>
    <n v="161"/>
    <x v="0"/>
    <s v="Research Scientist"/>
    <s v="Married"/>
    <s v="Yes"/>
    <s v="Y"/>
    <n v="2"/>
    <n v="-2"/>
    <n v="0"/>
    <n v="56"/>
    <n v="1"/>
    <n v="1"/>
    <n v="1"/>
    <n v="0"/>
    <n v="441"/>
    <n v="14"/>
    <s v="Master's Degree"/>
    <n v="1"/>
    <n v="2"/>
    <n v="72"/>
    <n v="3"/>
    <n v="1"/>
    <x v="1"/>
    <n v="4963"/>
    <n v="4510"/>
    <n v="9"/>
    <n v="18"/>
    <n v="3"/>
    <n v="1"/>
    <n v="80"/>
    <n v="3"/>
    <n v="7"/>
    <n v="3"/>
    <n v="5"/>
    <n v="4"/>
    <n v="4"/>
    <n v="3"/>
  </r>
  <r>
    <s v="No"/>
    <s v="Travel_Rarely"/>
    <s v="45 - 54"/>
    <s v="Current Employees"/>
    <s v="R&amp;D"/>
    <x v="0"/>
    <s v="STAFF-162"/>
    <n v="162"/>
    <x v="1"/>
    <s v="Research Director"/>
    <s v="Single"/>
    <s v="No"/>
    <s v="Y"/>
    <n v="5"/>
    <n v="-2"/>
    <n v="0"/>
    <n v="51"/>
    <n v="0"/>
    <m/>
    <n v="0"/>
    <n v="1"/>
    <n v="684"/>
    <n v="6"/>
    <s v="Bachelor's Degree"/>
    <n v="1"/>
    <n v="1"/>
    <n v="51"/>
    <n v="3"/>
    <n v="5"/>
    <x v="1"/>
    <n v="19537"/>
    <n v="6462"/>
    <n v="7"/>
    <n v="13"/>
    <n v="3"/>
    <n v="3"/>
    <n v="80"/>
    <n v="0"/>
    <n v="23"/>
    <n v="3"/>
    <n v="20"/>
    <n v="18"/>
    <n v="15"/>
    <n v="15"/>
  </r>
  <r>
    <s v="Yes"/>
    <s v="Travel_Rarely"/>
    <s v="25 - 34"/>
    <s v="Ex-Employees"/>
    <s v="Sales"/>
    <x v="0"/>
    <s v="STAFF-163"/>
    <n v="163"/>
    <x v="1"/>
    <s v="Sales Executive"/>
    <s v="Married"/>
    <s v="Yes"/>
    <s v="Y"/>
    <n v="3"/>
    <n v="-2"/>
    <n v="0"/>
    <n v="31"/>
    <n v="1"/>
    <n v="1"/>
    <n v="1"/>
    <n v="0"/>
    <n v="249"/>
    <n v="6"/>
    <s v="Master's Degree"/>
    <n v="1"/>
    <n v="2"/>
    <n v="76"/>
    <n v="1"/>
    <n v="2"/>
    <x v="1"/>
    <n v="6172"/>
    <n v="20739"/>
    <n v="4"/>
    <n v="18"/>
    <n v="3"/>
    <n v="2"/>
    <n v="80"/>
    <n v="0"/>
    <n v="12"/>
    <n v="2"/>
    <n v="7"/>
    <n v="7"/>
    <n v="7"/>
    <n v="7"/>
  </r>
  <r>
    <s v="No"/>
    <s v="Travel_Rarely"/>
    <s v="25 - 34"/>
    <s v="Current Employees"/>
    <s v="R&amp;D"/>
    <x v="1"/>
    <s v="STAFF-164"/>
    <n v="164"/>
    <x v="0"/>
    <s v="Research Scientist"/>
    <s v="Married"/>
    <s v="No"/>
    <s v="Y"/>
    <n v="3"/>
    <n v="-2"/>
    <n v="0"/>
    <n v="26"/>
    <n v="0"/>
    <m/>
    <n v="0"/>
    <n v="1"/>
    <n v="841"/>
    <n v="6"/>
    <s v="Bachelor's Degree"/>
    <n v="1"/>
    <n v="3"/>
    <n v="46"/>
    <n v="2"/>
    <n v="1"/>
    <x v="2"/>
    <n v="2368"/>
    <n v="23300"/>
    <n v="1"/>
    <n v="19"/>
    <n v="3"/>
    <n v="3"/>
    <n v="80"/>
    <n v="0"/>
    <n v="5"/>
    <n v="2"/>
    <n v="5"/>
    <n v="4"/>
    <n v="4"/>
    <n v="3"/>
  </r>
  <r>
    <s v="Yes"/>
    <s v="Travel_Rarely"/>
    <s v="Over 55"/>
    <s v="Ex-Employees"/>
    <s v="R&amp;D"/>
    <x v="2"/>
    <s v="STAFF-165"/>
    <n v="165"/>
    <x v="0"/>
    <s v="Healthcare Representative"/>
    <s v="Married"/>
    <s v="No"/>
    <s v="Y"/>
    <n v="3"/>
    <n v="-2"/>
    <n v="0"/>
    <n v="58"/>
    <n v="1"/>
    <n v="1"/>
    <n v="1"/>
    <n v="0"/>
    <n v="147"/>
    <n v="23"/>
    <s v="Master's Degree"/>
    <n v="1"/>
    <n v="4"/>
    <n v="94"/>
    <n v="3"/>
    <n v="3"/>
    <x v="0"/>
    <n v="10312"/>
    <n v="3465"/>
    <n v="1"/>
    <n v="12"/>
    <n v="3"/>
    <n v="4"/>
    <n v="80"/>
    <n v="1"/>
    <n v="40"/>
    <n v="2"/>
    <n v="40"/>
    <n v="10"/>
    <n v="15"/>
    <n v="6"/>
  </r>
  <r>
    <s v="Yes"/>
    <s v="Travel_Rarely"/>
    <s v="Under 25"/>
    <s v="Ex-Employees"/>
    <s v="Sales"/>
    <x v="3"/>
    <s v="STAFF-167"/>
    <n v="167"/>
    <x v="1"/>
    <s v="Sales Representative"/>
    <s v="Single"/>
    <s v="Yes"/>
    <s v="Y"/>
    <n v="2"/>
    <n v="-2"/>
    <n v="0"/>
    <n v="19"/>
    <n v="1"/>
    <n v="1"/>
    <n v="1"/>
    <n v="0"/>
    <n v="528"/>
    <n v="22"/>
    <s v="High School"/>
    <n v="1"/>
    <n v="4"/>
    <n v="50"/>
    <n v="3"/>
    <n v="1"/>
    <x v="2"/>
    <n v="1675"/>
    <n v="26820"/>
    <n v="1"/>
    <n v="19"/>
    <n v="3"/>
    <n v="4"/>
    <n v="80"/>
    <n v="0"/>
    <n v="0"/>
    <n v="2"/>
    <n v="0"/>
    <n v="0"/>
    <n v="0"/>
    <n v="0"/>
  </r>
  <r>
    <s v="No"/>
    <s v="Travel_Rarely"/>
    <s v="Under 25"/>
    <s v="Current Employees"/>
    <s v="R&amp;D"/>
    <x v="4"/>
    <s v="STAFF-169"/>
    <n v="169"/>
    <x v="1"/>
    <s v="Laboratory Technician"/>
    <s v="Married"/>
    <s v="No"/>
    <s v="Y"/>
    <n v="2"/>
    <n v="-2"/>
    <n v="0"/>
    <n v="22"/>
    <n v="0"/>
    <m/>
    <n v="0"/>
    <n v="1"/>
    <n v="594"/>
    <n v="2"/>
    <s v="High School"/>
    <n v="1"/>
    <n v="3"/>
    <n v="100"/>
    <n v="3"/>
    <n v="1"/>
    <x v="0"/>
    <n v="2523"/>
    <n v="19299"/>
    <n v="0"/>
    <n v="14"/>
    <n v="3"/>
    <n v="3"/>
    <n v="80"/>
    <n v="1"/>
    <n v="3"/>
    <n v="3"/>
    <n v="2"/>
    <n v="1"/>
    <n v="2"/>
    <n v="1"/>
  </r>
  <r>
    <s v="No"/>
    <s v="Travel_Rarely"/>
    <s v="45 - 54"/>
    <s v="Current Employees"/>
    <s v="R&amp;D"/>
    <x v="2"/>
    <s v="STAFF-170"/>
    <n v="170"/>
    <x v="0"/>
    <s v="Manufacturing Director"/>
    <s v="Married"/>
    <s v="No"/>
    <s v="Y"/>
    <n v="2"/>
    <n v="-2"/>
    <n v="0"/>
    <n v="49"/>
    <n v="0"/>
    <m/>
    <n v="0"/>
    <n v="1"/>
    <n v="470"/>
    <n v="20"/>
    <s v="Master's Degree"/>
    <n v="1"/>
    <n v="3"/>
    <n v="96"/>
    <n v="3"/>
    <n v="2"/>
    <x v="3"/>
    <n v="6567"/>
    <n v="5549"/>
    <n v="1"/>
    <n v="14"/>
    <n v="3"/>
    <n v="3"/>
    <n v="80"/>
    <n v="0"/>
    <n v="16"/>
    <n v="2"/>
    <n v="15"/>
    <n v="11"/>
    <n v="5"/>
    <n v="11"/>
  </r>
  <r>
    <s v="No"/>
    <s v="Travel_Frequently"/>
    <s v="35 - 44"/>
    <s v="Current Employees"/>
    <s v="R&amp;D"/>
    <x v="2"/>
    <s v="STAFF-171"/>
    <n v="171"/>
    <x v="0"/>
    <s v="Research Scientist"/>
    <s v="Single"/>
    <s v="No"/>
    <s v="Y"/>
    <n v="2"/>
    <n v="-2"/>
    <n v="0"/>
    <n v="43"/>
    <n v="0"/>
    <m/>
    <n v="0"/>
    <n v="1"/>
    <n v="957"/>
    <n v="28"/>
    <s v="Bachelor's Degree"/>
    <n v="1"/>
    <n v="2"/>
    <n v="72"/>
    <n v="4"/>
    <n v="1"/>
    <x v="2"/>
    <n v="4739"/>
    <n v="16090"/>
    <n v="4"/>
    <n v="12"/>
    <n v="3"/>
    <n v="4"/>
    <n v="80"/>
    <n v="0"/>
    <n v="18"/>
    <n v="3"/>
    <n v="3"/>
    <n v="2"/>
    <n v="1"/>
    <n v="2"/>
  </r>
  <r>
    <s v="No"/>
    <s v="Travel_Frequently"/>
    <s v="45 - 54"/>
    <s v="Current Employees"/>
    <s v="Sales"/>
    <x v="3"/>
    <s v="STAFF-174"/>
    <n v="174"/>
    <x v="0"/>
    <s v="Sales Executive"/>
    <s v="Single"/>
    <s v="No"/>
    <s v="Y"/>
    <n v="3"/>
    <n v="-2"/>
    <n v="0"/>
    <n v="50"/>
    <n v="0"/>
    <m/>
    <n v="0"/>
    <n v="1"/>
    <n v="809"/>
    <n v="12"/>
    <s v="Bachelor's Degree"/>
    <n v="1"/>
    <n v="3"/>
    <n v="77"/>
    <n v="3"/>
    <n v="3"/>
    <x v="0"/>
    <n v="9208"/>
    <n v="6645"/>
    <n v="4"/>
    <n v="11"/>
    <n v="3"/>
    <n v="4"/>
    <n v="80"/>
    <n v="0"/>
    <n v="16"/>
    <n v="3"/>
    <n v="2"/>
    <n v="2"/>
    <n v="2"/>
    <n v="1"/>
  </r>
  <r>
    <s v="Yes"/>
    <s v="Travel_Rarely"/>
    <s v="25 - 34"/>
    <s v="Ex-Employees"/>
    <s v="Sales"/>
    <x v="0"/>
    <s v="STAFF-175"/>
    <n v="175"/>
    <x v="0"/>
    <s v="Sales Executive"/>
    <s v="Married"/>
    <s v="Yes"/>
    <s v="Y"/>
    <n v="2"/>
    <n v="-2"/>
    <n v="0"/>
    <n v="31"/>
    <n v="1"/>
    <n v="1"/>
    <n v="1"/>
    <n v="0"/>
    <n v="542"/>
    <n v="20"/>
    <s v="Bachelor's Degree"/>
    <n v="1"/>
    <n v="2"/>
    <n v="71"/>
    <n v="1"/>
    <n v="2"/>
    <x v="1"/>
    <n v="4559"/>
    <n v="24788"/>
    <n v="3"/>
    <n v="11"/>
    <n v="3"/>
    <n v="3"/>
    <n v="80"/>
    <n v="1"/>
    <n v="4"/>
    <n v="3"/>
    <n v="2"/>
    <n v="2"/>
    <n v="2"/>
    <n v="2"/>
  </r>
  <r>
    <s v="No"/>
    <s v="Travel_Rarely"/>
    <s v="35 - 44"/>
    <s v="Current Employees"/>
    <s v="Sales"/>
    <x v="0"/>
    <s v="STAFF-176"/>
    <n v="176"/>
    <x v="1"/>
    <s v="Sales Executive"/>
    <s v="Divorced"/>
    <s v="Yes"/>
    <s v="Y"/>
    <n v="2"/>
    <n v="-2"/>
    <n v="0"/>
    <n v="41"/>
    <n v="0"/>
    <m/>
    <n v="0"/>
    <n v="1"/>
    <n v="802"/>
    <n v="9"/>
    <s v="High School"/>
    <n v="1"/>
    <n v="3"/>
    <n v="96"/>
    <n v="3"/>
    <n v="3"/>
    <x v="1"/>
    <n v="8189"/>
    <n v="21196"/>
    <n v="3"/>
    <n v="13"/>
    <n v="3"/>
    <n v="3"/>
    <n v="80"/>
    <n v="1"/>
    <n v="12"/>
    <n v="3"/>
    <n v="9"/>
    <n v="7"/>
    <n v="0"/>
    <n v="7"/>
  </r>
  <r>
    <s v="No"/>
    <s v="Travel_Rarely"/>
    <s v="25 - 34"/>
    <s v="Current Employees"/>
    <s v="HR"/>
    <x v="0"/>
    <s v="STAFF-177"/>
    <n v="177"/>
    <x v="0"/>
    <s v="Human Resources"/>
    <s v="Married"/>
    <s v="No"/>
    <s v="Y"/>
    <n v="3"/>
    <n v="-2"/>
    <n v="0"/>
    <n v="26"/>
    <n v="0"/>
    <m/>
    <n v="0"/>
    <n v="1"/>
    <n v="1355"/>
    <n v="25"/>
    <s v="High School"/>
    <n v="1"/>
    <n v="3"/>
    <n v="61"/>
    <n v="3"/>
    <n v="1"/>
    <x v="1"/>
    <n v="2942"/>
    <n v="8916"/>
    <n v="1"/>
    <n v="23"/>
    <n v="4"/>
    <n v="4"/>
    <n v="80"/>
    <n v="1"/>
    <n v="8"/>
    <n v="3"/>
    <n v="8"/>
    <n v="7"/>
    <n v="5"/>
    <n v="7"/>
  </r>
  <r>
    <s v="No"/>
    <s v="Travel_Rarely"/>
    <s v="35 - 44"/>
    <s v="Current Employees"/>
    <s v="R&amp;D"/>
    <x v="2"/>
    <s v="STAFF-178"/>
    <n v="178"/>
    <x v="1"/>
    <s v="Manufacturing Director"/>
    <s v="Divorced"/>
    <s v="No"/>
    <s v="Y"/>
    <n v="0"/>
    <n v="-2"/>
    <n v="0"/>
    <n v="36"/>
    <n v="0"/>
    <m/>
    <n v="0"/>
    <n v="1"/>
    <n v="216"/>
    <n v="6"/>
    <s v="Associates Degree"/>
    <n v="1"/>
    <n v="2"/>
    <n v="84"/>
    <n v="3"/>
    <n v="2"/>
    <x v="2"/>
    <n v="4941"/>
    <n v="2819"/>
    <n v="6"/>
    <n v="20"/>
    <n v="4"/>
    <n v="4"/>
    <n v="80"/>
    <n v="2"/>
    <n v="7"/>
    <n v="3"/>
    <n v="3"/>
    <n v="2"/>
    <n v="0"/>
    <n v="1"/>
  </r>
  <r>
    <s v="Yes"/>
    <s v="Travel_Frequently"/>
    <s v="45 - 54"/>
    <s v="Ex-Employees"/>
    <s v="R&amp;D"/>
    <x v="0"/>
    <s v="STAFF-179"/>
    <n v="179"/>
    <x v="1"/>
    <s v="Manufacturing Director"/>
    <s v="Single"/>
    <s v="No"/>
    <s v="Y"/>
    <n v="2"/>
    <n v="-2"/>
    <n v="0"/>
    <n v="51"/>
    <n v="1"/>
    <n v="1"/>
    <n v="1"/>
    <n v="0"/>
    <n v="1150"/>
    <n v="8"/>
    <s v="Master's Degree"/>
    <n v="1"/>
    <n v="1"/>
    <n v="53"/>
    <n v="1"/>
    <n v="3"/>
    <x v="1"/>
    <n v="10650"/>
    <n v="25150"/>
    <n v="2"/>
    <n v="15"/>
    <n v="3"/>
    <n v="4"/>
    <n v="80"/>
    <n v="0"/>
    <n v="18"/>
    <n v="3"/>
    <n v="4"/>
    <n v="2"/>
    <n v="0"/>
    <n v="3"/>
  </r>
  <r>
    <s v="No"/>
    <s v="Travel_Rarely"/>
    <s v="35 - 44"/>
    <s v="Current Employees"/>
    <s v="Sales"/>
    <x v="0"/>
    <s v="STAFF-182"/>
    <n v="182"/>
    <x v="0"/>
    <s v="Sales Executive"/>
    <s v="Married"/>
    <s v="No"/>
    <s v="Y"/>
    <n v="1"/>
    <n v="-2"/>
    <n v="0"/>
    <n v="39"/>
    <n v="0"/>
    <m/>
    <n v="0"/>
    <n v="1"/>
    <n v="1329"/>
    <n v="4"/>
    <s v="Master's Degree"/>
    <n v="1"/>
    <n v="4"/>
    <n v="47"/>
    <n v="2"/>
    <n v="2"/>
    <x v="1"/>
    <n v="5902"/>
    <n v="14590"/>
    <n v="4"/>
    <n v="14"/>
    <n v="3"/>
    <n v="3"/>
    <n v="80"/>
    <n v="1"/>
    <n v="17"/>
    <n v="4"/>
    <n v="15"/>
    <n v="11"/>
    <n v="5"/>
    <n v="9"/>
  </r>
  <r>
    <s v="No"/>
    <s v="Travel_Rarely"/>
    <s v="25 - 34"/>
    <s v="Current Employees"/>
    <s v="Sales"/>
    <x v="0"/>
    <s v="STAFF-183"/>
    <n v="183"/>
    <x v="1"/>
    <s v="Sales Executive"/>
    <s v="Married"/>
    <s v="No"/>
    <s v="Y"/>
    <n v="3"/>
    <n v="-2"/>
    <n v="0"/>
    <n v="25"/>
    <n v="0"/>
    <m/>
    <n v="0"/>
    <n v="1"/>
    <n v="959"/>
    <n v="28"/>
    <s v="Bachelor's Degree"/>
    <n v="1"/>
    <n v="1"/>
    <n v="41"/>
    <n v="2"/>
    <n v="2"/>
    <x v="1"/>
    <n v="8639"/>
    <n v="24835"/>
    <n v="2"/>
    <n v="18"/>
    <n v="3"/>
    <n v="4"/>
    <n v="80"/>
    <n v="0"/>
    <n v="6"/>
    <n v="3"/>
    <n v="2"/>
    <n v="2"/>
    <n v="2"/>
    <n v="2"/>
  </r>
  <r>
    <s v="No"/>
    <s v="Travel_Rarely"/>
    <s v="25 - 34"/>
    <s v="Current Employees"/>
    <s v="HR"/>
    <x v="5"/>
    <s v="STAFF-184"/>
    <n v="184"/>
    <x v="1"/>
    <s v="Human Resources"/>
    <s v="Married"/>
    <s v="Yes"/>
    <s v="Y"/>
    <n v="2"/>
    <n v="-2"/>
    <n v="0"/>
    <n v="30"/>
    <n v="0"/>
    <m/>
    <n v="0"/>
    <n v="1"/>
    <n v="1240"/>
    <n v="9"/>
    <s v="Bachelor's Degree"/>
    <n v="1"/>
    <n v="3"/>
    <n v="48"/>
    <n v="3"/>
    <n v="2"/>
    <x v="0"/>
    <n v="6347"/>
    <n v="13982"/>
    <n v="0"/>
    <n v="19"/>
    <n v="3"/>
    <n v="4"/>
    <n v="80"/>
    <n v="0"/>
    <n v="12"/>
    <n v="1"/>
    <n v="11"/>
    <n v="9"/>
    <n v="4"/>
    <n v="7"/>
  </r>
  <r>
    <s v="Yes"/>
    <s v="Travel_Rarely"/>
    <s v="25 - 34"/>
    <s v="Ex-Employees"/>
    <s v="R&amp;D"/>
    <x v="2"/>
    <s v="STAFF-190"/>
    <n v="190"/>
    <x v="0"/>
    <s v="Laboratory Technician"/>
    <s v="Single"/>
    <s v="No"/>
    <s v="Y"/>
    <n v="2"/>
    <n v="-2"/>
    <n v="0"/>
    <n v="32"/>
    <n v="1"/>
    <n v="1"/>
    <n v="1"/>
    <n v="0"/>
    <n v="1033"/>
    <n v="9"/>
    <s v="Bachelor's Degree"/>
    <n v="1"/>
    <n v="1"/>
    <n v="41"/>
    <n v="3"/>
    <n v="1"/>
    <x v="3"/>
    <n v="4200"/>
    <n v="10224"/>
    <n v="7"/>
    <n v="22"/>
    <n v="4"/>
    <n v="1"/>
    <n v="80"/>
    <n v="0"/>
    <n v="10"/>
    <n v="4"/>
    <n v="5"/>
    <n v="4"/>
    <n v="0"/>
    <n v="4"/>
  </r>
  <r>
    <s v="No"/>
    <s v="Travel_Rarely"/>
    <s v="45 - 54"/>
    <s v="Current Employees"/>
    <s v="R&amp;D"/>
    <x v="2"/>
    <s v="STAFF-192"/>
    <n v="192"/>
    <x v="1"/>
    <s v="Research Scientist"/>
    <s v="Single"/>
    <s v="No"/>
    <s v="Y"/>
    <n v="2"/>
    <n v="-2"/>
    <n v="0"/>
    <n v="45"/>
    <n v="0"/>
    <m/>
    <n v="0"/>
    <n v="1"/>
    <n v="1316"/>
    <n v="29"/>
    <s v="Bachelor's Degree"/>
    <n v="1"/>
    <n v="3"/>
    <n v="83"/>
    <n v="3"/>
    <n v="1"/>
    <x v="0"/>
    <n v="3452"/>
    <n v="9752"/>
    <n v="5"/>
    <n v="13"/>
    <n v="3"/>
    <n v="2"/>
    <n v="80"/>
    <n v="0"/>
    <n v="9"/>
    <n v="2"/>
    <n v="6"/>
    <n v="5"/>
    <n v="0"/>
    <n v="3"/>
  </r>
  <r>
    <s v="No"/>
    <s v="Travel_Rarely"/>
    <s v="35 - 44"/>
    <s v="Current Employees"/>
    <s v="R&amp;D"/>
    <x v="4"/>
    <s v="STAFF-193"/>
    <n v="193"/>
    <x v="0"/>
    <s v="Research Scientist"/>
    <s v="Single"/>
    <s v="Yes"/>
    <s v="Y"/>
    <n v="2"/>
    <n v="-2"/>
    <n v="0"/>
    <n v="38"/>
    <n v="0"/>
    <m/>
    <n v="0"/>
    <n v="1"/>
    <n v="364"/>
    <n v="3"/>
    <s v="Doctoral Degree"/>
    <n v="1"/>
    <n v="4"/>
    <n v="32"/>
    <n v="3"/>
    <n v="2"/>
    <x v="2"/>
    <n v="4317"/>
    <n v="2302"/>
    <n v="3"/>
    <n v="20"/>
    <n v="4"/>
    <n v="2"/>
    <n v="80"/>
    <n v="0"/>
    <n v="19"/>
    <n v="3"/>
    <n v="3"/>
    <n v="2"/>
    <n v="2"/>
    <n v="2"/>
  </r>
  <r>
    <s v="No"/>
    <s v="Travel_Rarely"/>
    <s v="25 - 34"/>
    <s v="Current Employees"/>
    <s v="R&amp;D"/>
    <x v="0"/>
    <s v="STAFF-194"/>
    <n v="194"/>
    <x v="0"/>
    <s v="Research Scientist"/>
    <s v="Single"/>
    <s v="No"/>
    <s v="Y"/>
    <n v="4"/>
    <n v="-2"/>
    <n v="0"/>
    <n v="30"/>
    <n v="0"/>
    <m/>
    <n v="0"/>
    <n v="1"/>
    <n v="438"/>
    <n v="18"/>
    <s v="Bachelor's Degree"/>
    <n v="1"/>
    <n v="1"/>
    <n v="75"/>
    <n v="3"/>
    <n v="1"/>
    <x v="1"/>
    <n v="2632"/>
    <n v="23910"/>
    <n v="1"/>
    <n v="14"/>
    <n v="3"/>
    <n v="3"/>
    <n v="80"/>
    <n v="0"/>
    <n v="5"/>
    <n v="2"/>
    <n v="5"/>
    <n v="4"/>
    <n v="0"/>
    <n v="4"/>
  </r>
  <r>
    <s v="No"/>
    <s v="Travel_Frequently"/>
    <s v="25 - 34"/>
    <s v="Current Employees"/>
    <s v="Sales"/>
    <x v="2"/>
    <s v="STAFF-195"/>
    <n v="195"/>
    <x v="1"/>
    <s v="Sales Executive"/>
    <s v="Divorced"/>
    <s v="No"/>
    <s v="Y"/>
    <n v="2"/>
    <n v="-2"/>
    <n v="0"/>
    <n v="32"/>
    <n v="0"/>
    <m/>
    <n v="0"/>
    <n v="1"/>
    <n v="689"/>
    <n v="9"/>
    <s v="Associates Degree"/>
    <n v="1"/>
    <n v="4"/>
    <n v="35"/>
    <n v="1"/>
    <n v="2"/>
    <x v="0"/>
    <n v="4668"/>
    <n v="22812"/>
    <n v="0"/>
    <n v="17"/>
    <n v="3"/>
    <n v="4"/>
    <n v="80"/>
    <n v="3"/>
    <n v="9"/>
    <n v="4"/>
    <n v="8"/>
    <n v="7"/>
    <n v="0"/>
    <n v="7"/>
  </r>
  <r>
    <s v="No"/>
    <s v="Travel_Rarely"/>
    <s v="25 - 34"/>
    <s v="Current Employees"/>
    <s v="R&amp;D"/>
    <x v="4"/>
    <s v="STAFF-197"/>
    <n v="197"/>
    <x v="0"/>
    <s v="Research Scientist"/>
    <s v="Divorced"/>
    <s v="No"/>
    <s v="Y"/>
    <n v="3"/>
    <n v="-2"/>
    <n v="0"/>
    <n v="30"/>
    <n v="0"/>
    <m/>
    <n v="0"/>
    <n v="1"/>
    <n v="201"/>
    <n v="5"/>
    <s v="Bachelor's Degree"/>
    <n v="1"/>
    <n v="4"/>
    <n v="84"/>
    <n v="3"/>
    <n v="1"/>
    <x v="0"/>
    <n v="3204"/>
    <n v="10415"/>
    <n v="5"/>
    <n v="14"/>
    <n v="3"/>
    <n v="4"/>
    <n v="80"/>
    <n v="1"/>
    <n v="8"/>
    <n v="3"/>
    <n v="3"/>
    <n v="2"/>
    <n v="2"/>
    <n v="2"/>
  </r>
  <r>
    <s v="No"/>
    <s v="Travel_Rarely"/>
    <s v="25 - 34"/>
    <s v="Current Employees"/>
    <s v="R&amp;D"/>
    <x v="2"/>
    <s v="STAFF-198"/>
    <n v="198"/>
    <x v="1"/>
    <s v="Laboratory Technician"/>
    <s v="Single"/>
    <s v="No"/>
    <s v="Y"/>
    <n v="3"/>
    <n v="-2"/>
    <n v="0"/>
    <n v="30"/>
    <n v="0"/>
    <m/>
    <n v="0"/>
    <n v="1"/>
    <n v="1427"/>
    <n v="2"/>
    <s v="High School"/>
    <n v="1"/>
    <n v="2"/>
    <n v="35"/>
    <n v="2"/>
    <n v="1"/>
    <x v="0"/>
    <n v="2720"/>
    <n v="11162"/>
    <n v="0"/>
    <n v="13"/>
    <n v="3"/>
    <n v="4"/>
    <n v="80"/>
    <n v="0"/>
    <n v="6"/>
    <n v="3"/>
    <n v="5"/>
    <n v="3"/>
    <n v="1"/>
    <n v="2"/>
  </r>
  <r>
    <s v="No"/>
    <s v="Travel_Frequently"/>
    <s v="35 - 44"/>
    <s v="Current Employees"/>
    <s v="R&amp;D"/>
    <x v="0"/>
    <s v="STAFF-199"/>
    <n v="199"/>
    <x v="1"/>
    <s v="Manager"/>
    <s v="Divorced"/>
    <s v="No"/>
    <s v="Y"/>
    <n v="2"/>
    <n v="-2"/>
    <n v="0"/>
    <n v="41"/>
    <n v="0"/>
    <m/>
    <n v="0"/>
    <n v="1"/>
    <n v="857"/>
    <n v="10"/>
    <s v="Bachelor's Degree"/>
    <n v="1"/>
    <n v="4"/>
    <n v="91"/>
    <n v="2"/>
    <n v="4"/>
    <x v="1"/>
    <n v="17181"/>
    <n v="12888"/>
    <n v="4"/>
    <n v="13"/>
    <n v="3"/>
    <n v="2"/>
    <n v="80"/>
    <n v="1"/>
    <n v="21"/>
    <n v="2"/>
    <n v="7"/>
    <n v="6"/>
    <n v="7"/>
    <n v="7"/>
  </r>
  <r>
    <s v="No"/>
    <s v="Travel_Rarely"/>
    <s v="35 - 44"/>
    <s v="Current Employees"/>
    <s v="R&amp;D"/>
    <x v="0"/>
    <s v="STAFF-200"/>
    <n v="200"/>
    <x v="1"/>
    <s v="Laboratory Technician"/>
    <s v="Married"/>
    <s v="No"/>
    <s v="Y"/>
    <n v="2"/>
    <n v="-2"/>
    <n v="0"/>
    <n v="41"/>
    <n v="0"/>
    <m/>
    <n v="0"/>
    <n v="1"/>
    <n v="933"/>
    <n v="9"/>
    <s v="Master's Degree"/>
    <n v="1"/>
    <n v="3"/>
    <n v="94"/>
    <n v="3"/>
    <n v="1"/>
    <x v="1"/>
    <n v="2238"/>
    <n v="6961"/>
    <n v="2"/>
    <n v="21"/>
    <n v="4"/>
    <n v="4"/>
    <n v="80"/>
    <n v="1"/>
    <n v="7"/>
    <n v="3"/>
    <n v="5"/>
    <n v="0"/>
    <n v="1"/>
    <n v="4"/>
  </r>
  <r>
    <s v="No"/>
    <s v="Travel_Rarely"/>
    <s v="Under 25"/>
    <s v="Current Employees"/>
    <s v="R&amp;D"/>
    <x v="2"/>
    <s v="STAFF-201"/>
    <n v="201"/>
    <x v="0"/>
    <s v="Laboratory Technician"/>
    <s v="Single"/>
    <s v="No"/>
    <s v="Y"/>
    <n v="3"/>
    <n v="-2"/>
    <n v="0"/>
    <n v="19"/>
    <n v="0"/>
    <m/>
    <n v="0"/>
    <n v="1"/>
    <n v="1181"/>
    <n v="3"/>
    <s v="High School"/>
    <n v="1"/>
    <n v="2"/>
    <n v="79"/>
    <n v="3"/>
    <n v="1"/>
    <x v="2"/>
    <n v="1483"/>
    <n v="16102"/>
    <n v="1"/>
    <n v="14"/>
    <n v="3"/>
    <n v="4"/>
    <n v="80"/>
    <n v="0"/>
    <n v="1"/>
    <n v="3"/>
    <n v="1"/>
    <n v="0"/>
    <n v="0"/>
    <n v="0"/>
  </r>
  <r>
    <s v="No"/>
    <s v="Travel_Frequently"/>
    <s v="35 - 44"/>
    <s v="Current Employees"/>
    <s v="R&amp;D"/>
    <x v="2"/>
    <s v="STAFF-202"/>
    <n v="202"/>
    <x v="0"/>
    <s v="Research Scientist"/>
    <s v="Divorced"/>
    <s v="No"/>
    <s v="Y"/>
    <n v="2"/>
    <n v="-2"/>
    <n v="0"/>
    <n v="40"/>
    <n v="0"/>
    <m/>
    <n v="0"/>
    <n v="1"/>
    <n v="1395"/>
    <n v="26"/>
    <s v="Bachelor's Degree"/>
    <n v="1"/>
    <n v="2"/>
    <n v="54"/>
    <n v="3"/>
    <n v="2"/>
    <x v="2"/>
    <n v="5605"/>
    <n v="8504"/>
    <n v="1"/>
    <n v="11"/>
    <n v="3"/>
    <n v="1"/>
    <n v="80"/>
    <n v="1"/>
    <n v="20"/>
    <n v="3"/>
    <n v="20"/>
    <n v="7"/>
    <n v="2"/>
    <n v="13"/>
  </r>
  <r>
    <s v="No"/>
    <s v="Travel_Rarely"/>
    <s v="35 - 44"/>
    <s v="Current Employees"/>
    <s v="Sales"/>
    <x v="3"/>
    <s v="STAFF-204"/>
    <n v="204"/>
    <x v="1"/>
    <s v="Sales Executive"/>
    <s v="Married"/>
    <s v="No"/>
    <s v="Y"/>
    <n v="3"/>
    <n v="-2"/>
    <n v="0"/>
    <n v="35"/>
    <n v="0"/>
    <m/>
    <n v="0"/>
    <n v="1"/>
    <n v="662"/>
    <n v="1"/>
    <s v="Doctoral Degree"/>
    <n v="1"/>
    <n v="3"/>
    <n v="94"/>
    <n v="3"/>
    <n v="3"/>
    <x v="2"/>
    <n v="7295"/>
    <n v="11439"/>
    <n v="1"/>
    <n v="13"/>
    <n v="3"/>
    <n v="1"/>
    <n v="80"/>
    <n v="2"/>
    <n v="10"/>
    <n v="3"/>
    <n v="10"/>
    <n v="8"/>
    <n v="0"/>
    <n v="6"/>
  </r>
  <r>
    <s v="No"/>
    <s v="Travel_Rarely"/>
    <s v="45 - 54"/>
    <s v="Current Employees"/>
    <s v="Sales"/>
    <x v="3"/>
    <s v="STAFF-205"/>
    <n v="205"/>
    <x v="1"/>
    <s v="Sales Representative"/>
    <s v="Married"/>
    <s v="Yes"/>
    <s v="Y"/>
    <n v="3"/>
    <n v="-2"/>
    <n v="0"/>
    <n v="53"/>
    <n v="0"/>
    <m/>
    <n v="0"/>
    <n v="1"/>
    <n v="1436"/>
    <n v="6"/>
    <s v="Associates Degree"/>
    <n v="1"/>
    <n v="2"/>
    <n v="34"/>
    <n v="3"/>
    <n v="2"/>
    <x v="2"/>
    <n v="2306"/>
    <n v="16047"/>
    <n v="2"/>
    <n v="20"/>
    <n v="4"/>
    <n v="4"/>
    <n v="80"/>
    <n v="1"/>
    <n v="13"/>
    <n v="1"/>
    <n v="7"/>
    <n v="7"/>
    <n v="4"/>
    <n v="5"/>
  </r>
  <r>
    <s v="No"/>
    <s v="Travel_Rarely"/>
    <s v="45 - 54"/>
    <s v="Current Employees"/>
    <s v="R&amp;D"/>
    <x v="0"/>
    <s v="STAFF-206"/>
    <n v="206"/>
    <x v="1"/>
    <s v="Laboratory Technician"/>
    <s v="Divorced"/>
    <s v="No"/>
    <s v="Y"/>
    <n v="2"/>
    <n v="-2"/>
    <n v="0"/>
    <n v="45"/>
    <n v="0"/>
    <m/>
    <n v="0"/>
    <n v="1"/>
    <n v="194"/>
    <n v="9"/>
    <s v="Bachelor's Degree"/>
    <n v="1"/>
    <n v="2"/>
    <n v="60"/>
    <n v="3"/>
    <n v="2"/>
    <x v="1"/>
    <n v="2348"/>
    <n v="10901"/>
    <n v="8"/>
    <n v="18"/>
    <n v="3"/>
    <n v="3"/>
    <n v="80"/>
    <n v="1"/>
    <n v="20"/>
    <n v="1"/>
    <n v="17"/>
    <n v="9"/>
    <n v="0"/>
    <n v="15"/>
  </r>
  <r>
    <s v="No"/>
    <s v="Travel_Frequently"/>
    <s v="25 - 34"/>
    <s v="Current Employees"/>
    <s v="Sales"/>
    <x v="3"/>
    <s v="STAFF-207"/>
    <n v="207"/>
    <x v="0"/>
    <s v="Sales Executive"/>
    <s v="Single"/>
    <s v="No"/>
    <s v="Y"/>
    <n v="2"/>
    <n v="-2"/>
    <n v="0"/>
    <n v="32"/>
    <n v="0"/>
    <m/>
    <n v="0"/>
    <n v="1"/>
    <n v="967"/>
    <n v="8"/>
    <s v="Bachelor's Degree"/>
    <n v="1"/>
    <n v="2"/>
    <n v="43"/>
    <n v="3"/>
    <n v="3"/>
    <x v="0"/>
    <n v="8998"/>
    <n v="15589"/>
    <n v="1"/>
    <n v="14"/>
    <n v="3"/>
    <n v="4"/>
    <n v="80"/>
    <n v="0"/>
    <n v="9"/>
    <n v="3"/>
    <n v="9"/>
    <n v="8"/>
    <n v="3"/>
    <n v="7"/>
  </r>
  <r>
    <s v="No"/>
    <s v="Non-Travel"/>
    <s v="25 - 34"/>
    <s v="Current Employees"/>
    <s v="R&amp;D"/>
    <x v="4"/>
    <s v="STAFF-208"/>
    <n v="208"/>
    <x v="1"/>
    <s v="Manufacturing Director"/>
    <s v="Married"/>
    <s v="No"/>
    <s v="Y"/>
    <n v="1"/>
    <n v="-2"/>
    <n v="0"/>
    <n v="29"/>
    <n v="0"/>
    <m/>
    <n v="0"/>
    <n v="1"/>
    <n v="1496"/>
    <n v="1"/>
    <s v="High School"/>
    <n v="1"/>
    <n v="4"/>
    <n v="41"/>
    <n v="3"/>
    <n v="2"/>
    <x v="0"/>
    <n v="4319"/>
    <n v="26283"/>
    <n v="1"/>
    <n v="13"/>
    <n v="3"/>
    <n v="1"/>
    <n v="80"/>
    <n v="1"/>
    <n v="10"/>
    <n v="3"/>
    <n v="10"/>
    <n v="7"/>
    <n v="0"/>
    <n v="9"/>
  </r>
  <r>
    <s v="No"/>
    <s v="Travel_Rarely"/>
    <s v="45 - 54"/>
    <s v="Current Employees"/>
    <s v="R&amp;D"/>
    <x v="2"/>
    <s v="STAFF-211"/>
    <n v="211"/>
    <x v="1"/>
    <s v="Manufacturing Director"/>
    <s v="Married"/>
    <s v="No"/>
    <s v="Y"/>
    <n v="2"/>
    <n v="-2"/>
    <n v="0"/>
    <n v="51"/>
    <n v="0"/>
    <m/>
    <n v="0"/>
    <n v="1"/>
    <n v="1169"/>
    <n v="7"/>
    <s v="Master's Degree"/>
    <n v="1"/>
    <n v="2"/>
    <n v="34"/>
    <n v="2"/>
    <n v="2"/>
    <x v="2"/>
    <n v="6132"/>
    <n v="13983"/>
    <n v="2"/>
    <n v="17"/>
    <n v="3"/>
    <n v="3"/>
    <n v="80"/>
    <n v="0"/>
    <n v="10"/>
    <n v="3"/>
    <n v="1"/>
    <n v="0"/>
    <n v="0"/>
    <n v="0"/>
  </r>
  <r>
    <s v="No"/>
    <s v="Travel_Rarely"/>
    <s v="Over 55"/>
    <s v="Current Employees"/>
    <s v="R&amp;D"/>
    <x v="2"/>
    <s v="STAFF-214"/>
    <n v="214"/>
    <x v="0"/>
    <s v="Research Scientist"/>
    <s v="Married"/>
    <s v="Yes"/>
    <s v="Y"/>
    <n v="3"/>
    <n v="-2"/>
    <n v="0"/>
    <n v="58"/>
    <n v="0"/>
    <m/>
    <n v="0"/>
    <n v="1"/>
    <n v="1145"/>
    <n v="9"/>
    <s v="Bachelor's Degree"/>
    <n v="1"/>
    <n v="2"/>
    <n v="75"/>
    <n v="2"/>
    <n v="1"/>
    <x v="2"/>
    <n v="3346"/>
    <n v="11873"/>
    <n v="4"/>
    <n v="20"/>
    <n v="4"/>
    <n v="2"/>
    <n v="80"/>
    <n v="1"/>
    <n v="9"/>
    <n v="2"/>
    <n v="1"/>
    <n v="0"/>
    <n v="0"/>
    <n v="0"/>
  </r>
  <r>
    <s v="No"/>
    <s v="Travel_Rarely"/>
    <s v="35 - 44"/>
    <s v="Current Employees"/>
    <s v="Sales"/>
    <x v="3"/>
    <s v="STAFF-215"/>
    <n v="215"/>
    <x v="1"/>
    <s v="Sales Executive"/>
    <s v="Married"/>
    <s v="No"/>
    <s v="Y"/>
    <n v="2"/>
    <n v="-2"/>
    <n v="0"/>
    <n v="40"/>
    <n v="0"/>
    <m/>
    <n v="0"/>
    <n v="1"/>
    <n v="630"/>
    <n v="4"/>
    <s v="Master's Degree"/>
    <n v="1"/>
    <n v="3"/>
    <n v="67"/>
    <n v="2"/>
    <n v="3"/>
    <x v="0"/>
    <n v="10855"/>
    <n v="8552"/>
    <n v="7"/>
    <n v="11"/>
    <n v="3"/>
    <n v="1"/>
    <n v="80"/>
    <n v="1"/>
    <n v="15"/>
    <n v="2"/>
    <n v="12"/>
    <n v="11"/>
    <n v="2"/>
    <n v="11"/>
  </r>
  <r>
    <s v="No"/>
    <s v="Travel_Frequently"/>
    <s v="25 - 34"/>
    <s v="Current Employees"/>
    <s v="Sales"/>
    <x v="3"/>
    <s v="STAFF-216"/>
    <n v="216"/>
    <x v="0"/>
    <s v="Sales Representative"/>
    <s v="Married"/>
    <s v="No"/>
    <s v="Y"/>
    <n v="3"/>
    <n v="-2"/>
    <n v="0"/>
    <n v="34"/>
    <n v="0"/>
    <m/>
    <n v="0"/>
    <n v="1"/>
    <n v="303"/>
    <n v="2"/>
    <s v="Master's Degree"/>
    <n v="1"/>
    <n v="3"/>
    <n v="75"/>
    <n v="3"/>
    <n v="1"/>
    <x v="2"/>
    <n v="2231"/>
    <n v="11314"/>
    <n v="6"/>
    <n v="18"/>
    <n v="3"/>
    <n v="4"/>
    <n v="80"/>
    <n v="1"/>
    <n v="6"/>
    <n v="3"/>
    <n v="4"/>
    <n v="3"/>
    <n v="1"/>
    <n v="2"/>
  </r>
  <r>
    <s v="No"/>
    <s v="Travel_Rarely"/>
    <s v="Under 25"/>
    <s v="Current Employees"/>
    <s v="R&amp;D"/>
    <x v="2"/>
    <s v="STAFF-217"/>
    <n v="217"/>
    <x v="1"/>
    <s v="Research Scientist"/>
    <s v="Married"/>
    <s v="No"/>
    <s v="Y"/>
    <n v="6"/>
    <n v="-2"/>
    <n v="0"/>
    <n v="22"/>
    <n v="0"/>
    <m/>
    <n v="0"/>
    <n v="1"/>
    <n v="1256"/>
    <n v="19"/>
    <s v="High School"/>
    <n v="1"/>
    <n v="3"/>
    <n v="80"/>
    <n v="3"/>
    <n v="1"/>
    <x v="0"/>
    <n v="2323"/>
    <n v="11992"/>
    <n v="1"/>
    <n v="24"/>
    <n v="4"/>
    <n v="1"/>
    <n v="80"/>
    <n v="2"/>
    <n v="2"/>
    <n v="3"/>
    <n v="2"/>
    <n v="2"/>
    <n v="2"/>
    <n v="2"/>
  </r>
  <r>
    <s v="No"/>
    <s v="Non-Travel"/>
    <s v="25 - 34"/>
    <s v="Current Employees"/>
    <s v="R&amp;D"/>
    <x v="2"/>
    <s v="STAFF-218"/>
    <n v="218"/>
    <x v="1"/>
    <s v="Research Scientist"/>
    <s v="Divorced"/>
    <s v="No"/>
    <s v="Y"/>
    <n v="1"/>
    <n v="-2"/>
    <n v="0"/>
    <n v="27"/>
    <n v="0"/>
    <m/>
    <n v="0"/>
    <n v="1"/>
    <n v="691"/>
    <n v="9"/>
    <s v="Bachelor's Degree"/>
    <n v="1"/>
    <n v="4"/>
    <n v="57"/>
    <n v="3"/>
    <n v="1"/>
    <x v="2"/>
    <n v="2024"/>
    <n v="5970"/>
    <n v="6"/>
    <n v="18"/>
    <n v="3"/>
    <n v="4"/>
    <n v="80"/>
    <n v="1"/>
    <n v="6"/>
    <n v="1"/>
    <n v="2"/>
    <n v="2"/>
    <n v="2"/>
    <n v="2"/>
  </r>
  <r>
    <s v="No"/>
    <s v="Travel_Rarely"/>
    <s v="25 - 34"/>
    <s v="Current Employees"/>
    <s v="R&amp;D"/>
    <x v="2"/>
    <s v="STAFF-221"/>
    <n v="221"/>
    <x v="1"/>
    <s v="Research Scientist"/>
    <s v="Married"/>
    <s v="No"/>
    <s v="Y"/>
    <n v="2"/>
    <n v="-2"/>
    <n v="0"/>
    <n v="28"/>
    <n v="0"/>
    <m/>
    <n v="0"/>
    <n v="1"/>
    <n v="440"/>
    <n v="21"/>
    <s v="Bachelor's Degree"/>
    <n v="1"/>
    <n v="3"/>
    <n v="42"/>
    <n v="3"/>
    <n v="1"/>
    <x v="0"/>
    <n v="2713"/>
    <n v="6672"/>
    <n v="1"/>
    <n v="11"/>
    <n v="3"/>
    <n v="3"/>
    <n v="80"/>
    <n v="1"/>
    <n v="5"/>
    <n v="1"/>
    <n v="5"/>
    <n v="2"/>
    <n v="0"/>
    <n v="2"/>
  </r>
  <r>
    <s v="No"/>
    <s v="Travel_Rarely"/>
    <s v="Over 55"/>
    <s v="Current Employees"/>
    <s v="R&amp;D"/>
    <x v="0"/>
    <s v="STAFF-223"/>
    <n v="223"/>
    <x v="1"/>
    <s v="Healthcare Representative"/>
    <s v="Divorced"/>
    <s v="Yes"/>
    <s v="Y"/>
    <n v="2"/>
    <n v="-2"/>
    <n v="0"/>
    <n v="57"/>
    <n v="0"/>
    <m/>
    <n v="0"/>
    <n v="1"/>
    <n v="334"/>
    <n v="24"/>
    <s v="Associates Degree"/>
    <n v="1"/>
    <n v="3"/>
    <n v="83"/>
    <n v="4"/>
    <n v="3"/>
    <x v="1"/>
    <n v="9439"/>
    <n v="23402"/>
    <n v="3"/>
    <n v="16"/>
    <n v="3"/>
    <n v="2"/>
    <n v="80"/>
    <n v="1"/>
    <n v="12"/>
    <n v="1"/>
    <n v="5"/>
    <n v="3"/>
    <n v="1"/>
    <n v="4"/>
  </r>
  <r>
    <s v="No"/>
    <s v="Non-Travel"/>
    <s v="25 - 34"/>
    <s v="Current Employees"/>
    <s v="R&amp;D"/>
    <x v="2"/>
    <s v="STAFF-224"/>
    <n v="224"/>
    <x v="1"/>
    <s v="Research Scientist"/>
    <s v="Divorced"/>
    <s v="Yes"/>
    <s v="Y"/>
    <n v="2"/>
    <n v="-2"/>
    <n v="0"/>
    <n v="27"/>
    <n v="0"/>
    <m/>
    <n v="0"/>
    <n v="1"/>
    <n v="1450"/>
    <n v="3"/>
    <s v="Bachelor's Degree"/>
    <n v="1"/>
    <n v="3"/>
    <n v="79"/>
    <n v="2"/>
    <n v="1"/>
    <x v="2"/>
    <n v="2566"/>
    <n v="25326"/>
    <n v="1"/>
    <n v="15"/>
    <n v="3"/>
    <n v="4"/>
    <n v="80"/>
    <n v="1"/>
    <n v="1"/>
    <n v="2"/>
    <n v="1"/>
    <n v="1"/>
    <n v="0"/>
    <n v="1"/>
  </r>
  <r>
    <s v="No"/>
    <s v="Travel_Rarely"/>
    <s v="45 - 54"/>
    <s v="Current Employees"/>
    <s v="R&amp;D"/>
    <x v="0"/>
    <s v="STAFF-226"/>
    <n v="226"/>
    <x v="0"/>
    <s v="Manager"/>
    <s v="Single"/>
    <s v="No"/>
    <s v="Y"/>
    <n v="5"/>
    <n v="-2"/>
    <n v="0"/>
    <n v="50"/>
    <n v="0"/>
    <m/>
    <n v="0"/>
    <n v="1"/>
    <n v="1452"/>
    <n v="11"/>
    <s v="Bachelor's Degree"/>
    <n v="1"/>
    <n v="3"/>
    <n v="53"/>
    <n v="3"/>
    <n v="5"/>
    <x v="1"/>
    <n v="19926"/>
    <n v="17053"/>
    <n v="3"/>
    <n v="15"/>
    <n v="3"/>
    <n v="2"/>
    <n v="80"/>
    <n v="0"/>
    <n v="21"/>
    <n v="3"/>
    <n v="5"/>
    <n v="4"/>
    <n v="4"/>
    <n v="4"/>
  </r>
  <r>
    <s v="No"/>
    <s v="Travel_Rarely"/>
    <s v="35 - 44"/>
    <s v="Current Employees"/>
    <s v="R&amp;D"/>
    <x v="0"/>
    <s v="STAFF-227"/>
    <n v="227"/>
    <x v="1"/>
    <s v="Research Scientist"/>
    <s v="Divorced"/>
    <s v="No"/>
    <s v="Y"/>
    <n v="2"/>
    <n v="-2"/>
    <n v="0"/>
    <n v="41"/>
    <n v="0"/>
    <m/>
    <n v="0"/>
    <n v="1"/>
    <n v="465"/>
    <n v="14"/>
    <s v="Bachelor's Degree"/>
    <n v="1"/>
    <n v="1"/>
    <n v="56"/>
    <n v="3"/>
    <n v="1"/>
    <x v="1"/>
    <n v="2451"/>
    <n v="4609"/>
    <n v="4"/>
    <n v="12"/>
    <n v="3"/>
    <n v="1"/>
    <n v="80"/>
    <n v="1"/>
    <n v="13"/>
    <n v="3"/>
    <n v="9"/>
    <n v="8"/>
    <n v="1"/>
    <n v="8"/>
  </r>
  <r>
    <s v="No"/>
    <s v="Travel_Rarely"/>
    <s v="25 - 34"/>
    <s v="Current Employees"/>
    <s v="Sales"/>
    <x v="0"/>
    <s v="STAFF-228"/>
    <n v="228"/>
    <x v="0"/>
    <s v="Sales Executive"/>
    <s v="Married"/>
    <s v="No"/>
    <s v="Y"/>
    <n v="2"/>
    <n v="-2"/>
    <n v="0"/>
    <n v="30"/>
    <n v="0"/>
    <m/>
    <n v="0"/>
    <n v="1"/>
    <n v="1339"/>
    <n v="5"/>
    <s v="Bachelor's Degree"/>
    <n v="1"/>
    <n v="2"/>
    <n v="41"/>
    <n v="3"/>
    <n v="3"/>
    <x v="1"/>
    <n v="9419"/>
    <n v="8053"/>
    <n v="2"/>
    <n v="12"/>
    <n v="3"/>
    <n v="3"/>
    <n v="80"/>
    <n v="1"/>
    <n v="12"/>
    <n v="3"/>
    <n v="10"/>
    <n v="9"/>
    <n v="7"/>
    <n v="4"/>
  </r>
  <r>
    <s v="No"/>
    <s v="Travel_Rarely"/>
    <s v="35 - 44"/>
    <s v="Current Employees"/>
    <s v="Sales"/>
    <x v="0"/>
    <s v="STAFF-230"/>
    <n v="230"/>
    <x v="0"/>
    <s v="Sales Executive"/>
    <s v="Single"/>
    <s v="No"/>
    <s v="Y"/>
    <n v="2"/>
    <n v="-2"/>
    <n v="0"/>
    <n v="38"/>
    <n v="0"/>
    <m/>
    <n v="0"/>
    <n v="1"/>
    <n v="702"/>
    <n v="1"/>
    <s v="Master's Degree"/>
    <n v="1"/>
    <n v="1"/>
    <n v="59"/>
    <n v="2"/>
    <n v="2"/>
    <x v="1"/>
    <n v="8686"/>
    <n v="12930"/>
    <n v="4"/>
    <n v="22"/>
    <n v="4"/>
    <n v="3"/>
    <n v="80"/>
    <n v="0"/>
    <n v="12"/>
    <n v="4"/>
    <n v="8"/>
    <n v="3"/>
    <n v="0"/>
    <n v="7"/>
  </r>
  <r>
    <s v="No"/>
    <s v="Travel_Rarely"/>
    <s v="25 - 34"/>
    <s v="Current Employees"/>
    <s v="R&amp;D"/>
    <x v="0"/>
    <s v="STAFF-231"/>
    <n v="231"/>
    <x v="1"/>
    <s v="Research Scientist"/>
    <s v="Single"/>
    <s v="No"/>
    <s v="Y"/>
    <n v="2"/>
    <n v="-2"/>
    <n v="0"/>
    <n v="32"/>
    <n v="0"/>
    <m/>
    <n v="0"/>
    <n v="1"/>
    <n v="120"/>
    <n v="6"/>
    <s v="Doctoral Degree"/>
    <n v="1"/>
    <n v="3"/>
    <n v="43"/>
    <n v="3"/>
    <n v="1"/>
    <x v="1"/>
    <n v="3038"/>
    <n v="12430"/>
    <n v="3"/>
    <n v="20"/>
    <n v="4"/>
    <n v="1"/>
    <n v="80"/>
    <n v="0"/>
    <n v="8"/>
    <n v="3"/>
    <n v="5"/>
    <n v="4"/>
    <n v="1"/>
    <n v="4"/>
  </r>
  <r>
    <s v="No"/>
    <s v="Travel_Rarely"/>
    <s v="25 - 34"/>
    <s v="Current Employees"/>
    <s v="R&amp;D"/>
    <x v="4"/>
    <s v="STAFF-233"/>
    <n v="233"/>
    <x v="1"/>
    <s v="Research Scientist"/>
    <s v="Married"/>
    <s v="Yes"/>
    <s v="Y"/>
    <n v="3"/>
    <n v="-2"/>
    <n v="0"/>
    <n v="27"/>
    <n v="0"/>
    <m/>
    <n v="0"/>
    <n v="1"/>
    <n v="1157"/>
    <n v="17"/>
    <s v="Bachelor's Degree"/>
    <n v="1"/>
    <n v="3"/>
    <n v="51"/>
    <n v="3"/>
    <n v="1"/>
    <x v="0"/>
    <n v="3058"/>
    <n v="13364"/>
    <n v="0"/>
    <n v="16"/>
    <n v="3"/>
    <n v="4"/>
    <n v="80"/>
    <n v="1"/>
    <n v="6"/>
    <n v="2"/>
    <n v="5"/>
    <n v="2"/>
    <n v="1"/>
    <n v="1"/>
  </r>
  <r>
    <s v="Yes"/>
    <s v="Travel_Frequently"/>
    <s v="Under 25"/>
    <s v="Ex-Employees"/>
    <s v="Sales"/>
    <x v="4"/>
    <s v="STAFF-235"/>
    <n v="235"/>
    <x v="0"/>
    <s v="Sales Representative"/>
    <s v="Single"/>
    <s v="No"/>
    <s v="Y"/>
    <n v="5"/>
    <n v="-2"/>
    <n v="0"/>
    <n v="19"/>
    <n v="1"/>
    <n v="1"/>
    <n v="1"/>
    <n v="0"/>
    <n v="602"/>
    <n v="1"/>
    <s v="High School"/>
    <n v="1"/>
    <n v="3"/>
    <n v="100"/>
    <n v="1"/>
    <n v="1"/>
    <x v="0"/>
    <n v="2325"/>
    <n v="20989"/>
    <n v="0"/>
    <n v="21"/>
    <n v="4"/>
    <n v="1"/>
    <n v="80"/>
    <n v="0"/>
    <n v="1"/>
    <n v="4"/>
    <n v="0"/>
    <n v="0"/>
    <n v="0"/>
    <n v="0"/>
  </r>
  <r>
    <s v="No"/>
    <s v="Travel_Frequently"/>
    <s v="35 - 44"/>
    <s v="Current Employees"/>
    <s v="R&amp;D"/>
    <x v="2"/>
    <s v="STAFF-238"/>
    <n v="238"/>
    <x v="1"/>
    <s v="Laboratory Technician"/>
    <s v="Single"/>
    <s v="No"/>
    <s v="Y"/>
    <n v="3"/>
    <n v="-2"/>
    <n v="0"/>
    <n v="36"/>
    <n v="0"/>
    <m/>
    <n v="0"/>
    <n v="1"/>
    <n v="1480"/>
    <n v="3"/>
    <s v="Associates Degree"/>
    <n v="1"/>
    <n v="4"/>
    <n v="30"/>
    <n v="3"/>
    <n v="1"/>
    <x v="2"/>
    <n v="2088"/>
    <n v="15062"/>
    <n v="4"/>
    <n v="12"/>
    <n v="3"/>
    <n v="3"/>
    <n v="80"/>
    <n v="0"/>
    <n v="13"/>
    <n v="2"/>
    <n v="8"/>
    <n v="7"/>
    <n v="7"/>
    <n v="2"/>
  </r>
  <r>
    <s v="No"/>
    <s v="Non-Travel"/>
    <s v="25 - 34"/>
    <s v="Current Employees"/>
    <s v="R&amp;D"/>
    <x v="2"/>
    <s v="STAFF-239"/>
    <n v="239"/>
    <x v="1"/>
    <s v="Laboratory Technician"/>
    <s v="Divorced"/>
    <s v="No"/>
    <s v="Y"/>
    <n v="4"/>
    <n v="-2"/>
    <n v="0"/>
    <n v="30"/>
    <n v="0"/>
    <m/>
    <n v="0"/>
    <n v="1"/>
    <n v="111"/>
    <n v="9"/>
    <s v="Bachelor's Degree"/>
    <n v="1"/>
    <n v="3"/>
    <n v="66"/>
    <n v="3"/>
    <n v="2"/>
    <x v="3"/>
    <n v="3072"/>
    <n v="11012"/>
    <n v="1"/>
    <n v="11"/>
    <n v="3"/>
    <n v="3"/>
    <n v="80"/>
    <n v="2"/>
    <n v="12"/>
    <n v="3"/>
    <n v="12"/>
    <n v="9"/>
    <n v="6"/>
    <n v="10"/>
  </r>
  <r>
    <s v="No"/>
    <s v="Travel_Rarely"/>
    <s v="45 - 54"/>
    <s v="Current Employees"/>
    <s v="Sales"/>
    <x v="0"/>
    <s v="STAFF-240"/>
    <n v="240"/>
    <x v="0"/>
    <s v="Sales Executive"/>
    <s v="Divorced"/>
    <s v="Yes"/>
    <s v="Y"/>
    <n v="3"/>
    <n v="-2"/>
    <n v="0"/>
    <n v="45"/>
    <n v="0"/>
    <m/>
    <n v="0"/>
    <n v="1"/>
    <n v="1268"/>
    <n v="4"/>
    <s v="Associates Degree"/>
    <n v="1"/>
    <n v="3"/>
    <n v="30"/>
    <n v="3"/>
    <n v="2"/>
    <x v="1"/>
    <n v="5006"/>
    <n v="6319"/>
    <n v="4"/>
    <n v="11"/>
    <n v="3"/>
    <n v="1"/>
    <n v="80"/>
    <n v="1"/>
    <n v="9"/>
    <n v="4"/>
    <n v="5"/>
    <n v="4"/>
    <n v="0"/>
    <n v="3"/>
  </r>
  <r>
    <s v="No"/>
    <s v="Travel_Rarely"/>
    <s v="Over 55"/>
    <s v="Current Employees"/>
    <s v="R&amp;D"/>
    <x v="0"/>
    <s v="STAFF-241"/>
    <n v="241"/>
    <x v="0"/>
    <s v="Research Scientist"/>
    <s v="Divorced"/>
    <s v="Yes"/>
    <s v="Y"/>
    <n v="3"/>
    <n v="-2"/>
    <n v="0"/>
    <n v="56"/>
    <n v="0"/>
    <m/>
    <n v="0"/>
    <n v="1"/>
    <n v="713"/>
    <n v="8"/>
    <s v="Bachelor's Degree"/>
    <n v="1"/>
    <n v="3"/>
    <n v="67"/>
    <n v="3"/>
    <n v="1"/>
    <x v="1"/>
    <n v="4257"/>
    <n v="13939"/>
    <n v="4"/>
    <n v="18"/>
    <n v="3"/>
    <n v="3"/>
    <n v="80"/>
    <n v="1"/>
    <n v="19"/>
    <n v="3"/>
    <n v="2"/>
    <n v="2"/>
    <n v="2"/>
    <n v="2"/>
  </r>
  <r>
    <s v="No"/>
    <s v="Travel_Rarely"/>
    <s v="25 - 34"/>
    <s v="Current Employees"/>
    <s v="R&amp;D"/>
    <x v="0"/>
    <s v="STAFF-242"/>
    <n v="242"/>
    <x v="1"/>
    <s v="Research Scientist"/>
    <s v="Single"/>
    <s v="No"/>
    <s v="Y"/>
    <n v="2"/>
    <n v="-2"/>
    <n v="0"/>
    <n v="33"/>
    <n v="0"/>
    <m/>
    <n v="0"/>
    <n v="1"/>
    <n v="134"/>
    <n v="2"/>
    <s v="Bachelor's Degree"/>
    <n v="1"/>
    <n v="3"/>
    <n v="90"/>
    <n v="3"/>
    <n v="1"/>
    <x v="1"/>
    <n v="2500"/>
    <n v="10515"/>
    <n v="0"/>
    <n v="14"/>
    <n v="3"/>
    <n v="1"/>
    <n v="80"/>
    <n v="0"/>
    <n v="4"/>
    <n v="4"/>
    <n v="3"/>
    <n v="1"/>
    <n v="0"/>
    <n v="2"/>
  </r>
  <r>
    <s v="Yes"/>
    <s v="Travel_Rarely"/>
    <s v="Under 25"/>
    <s v="Ex-Employees"/>
    <s v="R&amp;D"/>
    <x v="0"/>
    <s v="STAFF-243"/>
    <n v="243"/>
    <x v="1"/>
    <s v="Laboratory Technician"/>
    <s v="Single"/>
    <s v="No"/>
    <s v="Y"/>
    <n v="3"/>
    <n v="-2"/>
    <n v="0"/>
    <n v="19"/>
    <n v="1"/>
    <n v="1"/>
    <n v="1"/>
    <n v="0"/>
    <n v="303"/>
    <n v="2"/>
    <s v="Bachelor's Degree"/>
    <n v="1"/>
    <n v="2"/>
    <n v="47"/>
    <n v="2"/>
    <n v="1"/>
    <x v="1"/>
    <n v="1102"/>
    <n v="9241"/>
    <n v="1"/>
    <n v="22"/>
    <n v="4"/>
    <n v="3"/>
    <n v="80"/>
    <n v="0"/>
    <n v="1"/>
    <n v="2"/>
    <n v="1"/>
    <n v="0"/>
    <n v="1"/>
    <n v="0"/>
  </r>
  <r>
    <s v="No"/>
    <s v="Travel_Rarely"/>
    <s v="45 - 54"/>
    <s v="Current Employees"/>
    <s v="Sales"/>
    <x v="3"/>
    <s v="STAFF-244"/>
    <n v="244"/>
    <x v="0"/>
    <s v="Sales Executive"/>
    <s v="Divorced"/>
    <s v="No"/>
    <s v="Y"/>
    <n v="2"/>
    <n v="-2"/>
    <n v="0"/>
    <n v="46"/>
    <n v="0"/>
    <m/>
    <n v="0"/>
    <n v="1"/>
    <n v="526"/>
    <n v="1"/>
    <s v="Associates Degree"/>
    <n v="1"/>
    <n v="2"/>
    <n v="92"/>
    <n v="3"/>
    <n v="3"/>
    <x v="3"/>
    <n v="10453"/>
    <n v="2137"/>
    <n v="1"/>
    <n v="25"/>
    <n v="4"/>
    <n v="3"/>
    <n v="80"/>
    <n v="3"/>
    <n v="24"/>
    <n v="3"/>
    <n v="24"/>
    <n v="13"/>
    <n v="15"/>
    <n v="7"/>
  </r>
  <r>
    <s v="No"/>
    <s v="Travel_Rarely"/>
    <s v="35 - 44"/>
    <s v="Current Employees"/>
    <s v="R&amp;D"/>
    <x v="0"/>
    <s v="STAFF-245"/>
    <n v="245"/>
    <x v="0"/>
    <s v="Laboratory Technician"/>
    <s v="Single"/>
    <s v="No"/>
    <s v="Y"/>
    <n v="3"/>
    <n v="-2"/>
    <n v="0"/>
    <n v="38"/>
    <n v="0"/>
    <m/>
    <n v="0"/>
    <n v="1"/>
    <n v="1380"/>
    <n v="9"/>
    <s v="Associates Degree"/>
    <n v="1"/>
    <n v="3"/>
    <n v="75"/>
    <n v="3"/>
    <n v="1"/>
    <x v="1"/>
    <n v="2288"/>
    <n v="6319"/>
    <n v="1"/>
    <n v="12"/>
    <n v="3"/>
    <n v="3"/>
    <n v="80"/>
    <n v="0"/>
    <n v="2"/>
    <n v="3"/>
    <n v="2"/>
    <n v="2"/>
    <n v="2"/>
    <n v="1"/>
  </r>
  <r>
    <s v="No"/>
    <s v="Travel_Rarely"/>
    <s v="25 - 34"/>
    <s v="Current Employees"/>
    <s v="R&amp;D"/>
    <x v="2"/>
    <s v="STAFF-246"/>
    <n v="246"/>
    <x v="0"/>
    <s v="Research Scientist"/>
    <s v="Married"/>
    <s v="Yes"/>
    <s v="Y"/>
    <n v="0"/>
    <n v="-2"/>
    <n v="0"/>
    <n v="31"/>
    <n v="0"/>
    <m/>
    <n v="0"/>
    <n v="1"/>
    <n v="140"/>
    <n v="12"/>
    <s v="High School"/>
    <n v="1"/>
    <n v="3"/>
    <n v="95"/>
    <n v="3"/>
    <n v="1"/>
    <x v="0"/>
    <n v="3929"/>
    <n v="6984"/>
    <n v="8"/>
    <n v="23"/>
    <n v="4"/>
    <n v="3"/>
    <n v="80"/>
    <n v="1"/>
    <n v="7"/>
    <n v="3"/>
    <n v="4"/>
    <n v="2"/>
    <n v="0"/>
    <n v="2"/>
  </r>
  <r>
    <s v="No"/>
    <s v="Travel_Rarely"/>
    <s v="25 - 34"/>
    <s v="Current Employees"/>
    <s v="R&amp;D"/>
    <x v="2"/>
    <s v="STAFF-247"/>
    <n v="247"/>
    <x v="0"/>
    <s v="Research Scientist"/>
    <s v="Single"/>
    <s v="No"/>
    <s v="Y"/>
    <n v="3"/>
    <n v="-2"/>
    <n v="0"/>
    <n v="34"/>
    <n v="0"/>
    <m/>
    <n v="0"/>
    <n v="1"/>
    <n v="629"/>
    <n v="27"/>
    <s v="Associates Degree"/>
    <n v="1"/>
    <n v="4"/>
    <n v="95"/>
    <n v="3"/>
    <n v="1"/>
    <x v="2"/>
    <n v="2311"/>
    <n v="5711"/>
    <n v="2"/>
    <n v="15"/>
    <n v="3"/>
    <n v="4"/>
    <n v="80"/>
    <n v="0"/>
    <n v="9"/>
    <n v="3"/>
    <n v="3"/>
    <n v="2"/>
    <n v="1"/>
    <n v="2"/>
  </r>
  <r>
    <s v="Yes"/>
    <s v="Travel_Rarely"/>
    <s v="35 - 44"/>
    <s v="Ex-Employees"/>
    <s v="Sales"/>
    <x v="3"/>
    <s v="STAFF-248"/>
    <n v="248"/>
    <x v="0"/>
    <s v="Sales Representative"/>
    <s v="Single"/>
    <s v="Yes"/>
    <s v="Y"/>
    <n v="5"/>
    <n v="-2"/>
    <n v="0"/>
    <n v="41"/>
    <n v="1"/>
    <n v="1"/>
    <n v="1"/>
    <n v="0"/>
    <n v="1356"/>
    <n v="20"/>
    <s v="Associates Degree"/>
    <n v="1"/>
    <n v="2"/>
    <n v="70"/>
    <n v="3"/>
    <n v="1"/>
    <x v="2"/>
    <n v="3140"/>
    <n v="21728"/>
    <n v="1"/>
    <n v="22"/>
    <n v="4"/>
    <n v="4"/>
    <n v="80"/>
    <n v="0"/>
    <n v="4"/>
    <n v="2"/>
    <n v="4"/>
    <n v="3"/>
    <n v="0"/>
    <n v="2"/>
  </r>
  <r>
    <s v="No"/>
    <s v="Travel_Rarely"/>
    <s v="45 - 54"/>
    <s v="Current Employees"/>
    <s v="R&amp;D"/>
    <x v="2"/>
    <s v="STAFF-249"/>
    <n v="249"/>
    <x v="1"/>
    <s v="Laboratory Technician"/>
    <s v="Married"/>
    <s v="No"/>
    <s v="Y"/>
    <n v="2"/>
    <n v="-2"/>
    <n v="0"/>
    <n v="50"/>
    <n v="0"/>
    <m/>
    <n v="0"/>
    <n v="1"/>
    <n v="328"/>
    <n v="1"/>
    <s v="Bachelor's Degree"/>
    <n v="1"/>
    <n v="3"/>
    <n v="86"/>
    <n v="2"/>
    <n v="1"/>
    <x v="2"/>
    <n v="3690"/>
    <n v="3425"/>
    <n v="2"/>
    <n v="15"/>
    <n v="3"/>
    <n v="4"/>
    <n v="80"/>
    <n v="1"/>
    <n v="5"/>
    <n v="2"/>
    <n v="3"/>
    <n v="2"/>
    <n v="0"/>
    <n v="2"/>
  </r>
  <r>
    <s v="No"/>
    <s v="Travel_Rarely"/>
    <s v="45 - 54"/>
    <s v="Current Employees"/>
    <s v="R&amp;D"/>
    <x v="2"/>
    <s v="STAFF-250"/>
    <n v="250"/>
    <x v="0"/>
    <s v="Manufacturing Director"/>
    <s v="Divorced"/>
    <s v="No"/>
    <s v="Y"/>
    <n v="3"/>
    <n v="-2"/>
    <n v="0"/>
    <n v="53"/>
    <n v="0"/>
    <m/>
    <n v="0"/>
    <n v="1"/>
    <n v="1084"/>
    <n v="13"/>
    <s v="Associates Degree"/>
    <n v="1"/>
    <n v="4"/>
    <n v="57"/>
    <n v="4"/>
    <n v="2"/>
    <x v="2"/>
    <n v="4450"/>
    <n v="26250"/>
    <n v="1"/>
    <n v="11"/>
    <n v="3"/>
    <n v="3"/>
    <n v="80"/>
    <n v="2"/>
    <n v="5"/>
    <n v="3"/>
    <n v="4"/>
    <n v="2"/>
    <n v="1"/>
    <n v="3"/>
  </r>
  <r>
    <s v="No"/>
    <s v="Travel_Rarely"/>
    <s v="25 - 34"/>
    <s v="Current Employees"/>
    <s v="R&amp;D"/>
    <x v="2"/>
    <s v="STAFF-252"/>
    <n v="252"/>
    <x v="0"/>
    <s v="Research Scientist"/>
    <s v="Married"/>
    <s v="No"/>
    <s v="Y"/>
    <n v="5"/>
    <n v="-2"/>
    <n v="0"/>
    <n v="33"/>
    <n v="0"/>
    <m/>
    <n v="0"/>
    <n v="1"/>
    <n v="931"/>
    <n v="14"/>
    <s v="Bachelor's Degree"/>
    <n v="1"/>
    <n v="4"/>
    <n v="72"/>
    <n v="3"/>
    <n v="1"/>
    <x v="2"/>
    <n v="2756"/>
    <n v="4673"/>
    <n v="1"/>
    <n v="13"/>
    <n v="3"/>
    <n v="4"/>
    <n v="80"/>
    <n v="1"/>
    <n v="8"/>
    <n v="3"/>
    <n v="8"/>
    <n v="7"/>
    <n v="1"/>
    <n v="6"/>
  </r>
  <r>
    <s v="No"/>
    <s v="Travel_Rarely"/>
    <s v="35 - 44"/>
    <s v="Current Employees"/>
    <s v="R&amp;D"/>
    <x v="2"/>
    <s v="STAFF-253"/>
    <n v="253"/>
    <x v="0"/>
    <s v="Manager"/>
    <s v="Married"/>
    <s v="No"/>
    <s v="Y"/>
    <n v="2"/>
    <n v="-2"/>
    <n v="0"/>
    <n v="40"/>
    <n v="0"/>
    <m/>
    <n v="0"/>
    <n v="1"/>
    <n v="989"/>
    <n v="4"/>
    <s v="High School"/>
    <n v="1"/>
    <n v="4"/>
    <n v="46"/>
    <n v="3"/>
    <n v="5"/>
    <x v="2"/>
    <n v="19033"/>
    <n v="6499"/>
    <n v="1"/>
    <n v="14"/>
    <n v="3"/>
    <n v="2"/>
    <n v="80"/>
    <n v="1"/>
    <n v="21"/>
    <n v="3"/>
    <n v="20"/>
    <n v="8"/>
    <n v="9"/>
    <n v="9"/>
  </r>
  <r>
    <s v="No"/>
    <s v="Travel_Rarely"/>
    <s v="Over 55"/>
    <s v="Current Employees"/>
    <s v="R&amp;D"/>
    <x v="2"/>
    <s v="STAFF-254"/>
    <n v="254"/>
    <x v="1"/>
    <s v="Research Director"/>
    <s v="Single"/>
    <s v="No"/>
    <s v="Y"/>
    <n v="3"/>
    <n v="-2"/>
    <n v="0"/>
    <n v="55"/>
    <n v="0"/>
    <m/>
    <n v="0"/>
    <n v="1"/>
    <n v="692"/>
    <n v="14"/>
    <s v="Master's Degree"/>
    <n v="1"/>
    <n v="3"/>
    <n v="61"/>
    <n v="4"/>
    <n v="5"/>
    <x v="2"/>
    <n v="18722"/>
    <n v="13339"/>
    <n v="8"/>
    <n v="11"/>
    <n v="3"/>
    <n v="4"/>
    <n v="80"/>
    <n v="0"/>
    <n v="36"/>
    <n v="3"/>
    <n v="24"/>
    <n v="15"/>
    <n v="2"/>
    <n v="15"/>
  </r>
  <r>
    <s v="No"/>
    <s v="Travel_Frequently"/>
    <s v="25 - 34"/>
    <s v="Current Employees"/>
    <s v="R&amp;D"/>
    <x v="0"/>
    <s v="STAFF-256"/>
    <n v="256"/>
    <x v="1"/>
    <s v="Manufacturing Director"/>
    <s v="Married"/>
    <s v="No"/>
    <s v="Y"/>
    <n v="2"/>
    <n v="-2"/>
    <n v="0"/>
    <n v="34"/>
    <n v="0"/>
    <m/>
    <n v="0"/>
    <n v="1"/>
    <n v="1069"/>
    <n v="2"/>
    <s v="High School"/>
    <n v="1"/>
    <n v="4"/>
    <n v="45"/>
    <n v="2"/>
    <n v="2"/>
    <x v="1"/>
    <n v="9547"/>
    <n v="14074"/>
    <n v="1"/>
    <n v="17"/>
    <n v="3"/>
    <n v="3"/>
    <n v="80"/>
    <n v="0"/>
    <n v="10"/>
    <n v="2"/>
    <n v="10"/>
    <n v="9"/>
    <n v="1"/>
    <n v="9"/>
  </r>
  <r>
    <s v="No"/>
    <s v="Travel_Rarely"/>
    <s v="45 - 54"/>
    <s v="Current Employees"/>
    <s v="R&amp;D"/>
    <x v="2"/>
    <s v="STAFF-258"/>
    <n v="258"/>
    <x v="0"/>
    <s v="Healthcare Representative"/>
    <s v="Single"/>
    <s v="No"/>
    <s v="Y"/>
    <n v="6"/>
    <n v="-2"/>
    <n v="0"/>
    <n v="51"/>
    <n v="0"/>
    <m/>
    <n v="0"/>
    <n v="1"/>
    <n v="313"/>
    <n v="3"/>
    <s v="Bachelor's Degree"/>
    <n v="1"/>
    <n v="4"/>
    <n v="98"/>
    <n v="3"/>
    <n v="4"/>
    <x v="2"/>
    <n v="13734"/>
    <n v="7192"/>
    <n v="3"/>
    <n v="18"/>
    <n v="3"/>
    <n v="3"/>
    <n v="80"/>
    <n v="0"/>
    <n v="21"/>
    <n v="3"/>
    <n v="7"/>
    <n v="7"/>
    <n v="1"/>
    <n v="0"/>
  </r>
  <r>
    <s v="No"/>
    <s v="Travel_Rarely"/>
    <s v="45 - 54"/>
    <s v="Current Employees"/>
    <s v="R&amp;D"/>
    <x v="0"/>
    <s v="STAFF-259"/>
    <n v="259"/>
    <x v="1"/>
    <s v="Manager"/>
    <s v="Married"/>
    <s v="No"/>
    <s v="Y"/>
    <n v="5"/>
    <n v="-2"/>
    <n v="0"/>
    <n v="52"/>
    <n v="0"/>
    <m/>
    <n v="0"/>
    <n v="1"/>
    <n v="699"/>
    <n v="1"/>
    <s v="Master's Degree"/>
    <n v="1"/>
    <n v="3"/>
    <n v="65"/>
    <n v="2"/>
    <n v="5"/>
    <x v="1"/>
    <n v="19999"/>
    <n v="5678"/>
    <n v="0"/>
    <n v="14"/>
    <n v="3"/>
    <n v="1"/>
    <n v="80"/>
    <n v="1"/>
    <n v="34"/>
    <n v="3"/>
    <n v="33"/>
    <n v="18"/>
    <n v="11"/>
    <n v="9"/>
  </r>
  <r>
    <s v="No"/>
    <s v="Travel_Rarely"/>
    <s v="25 - 34"/>
    <s v="Current Employees"/>
    <s v="R&amp;D"/>
    <x v="2"/>
    <s v="STAFF-260"/>
    <n v="260"/>
    <x v="0"/>
    <s v="Research Scientist"/>
    <s v="Single"/>
    <s v="No"/>
    <s v="Y"/>
    <n v="2"/>
    <n v="-2"/>
    <n v="0"/>
    <n v="27"/>
    <n v="0"/>
    <m/>
    <n v="0"/>
    <n v="1"/>
    <n v="894"/>
    <n v="9"/>
    <s v="Bachelor's Degree"/>
    <n v="1"/>
    <n v="4"/>
    <n v="99"/>
    <n v="3"/>
    <n v="1"/>
    <x v="2"/>
    <n v="2279"/>
    <n v="11781"/>
    <n v="1"/>
    <n v="16"/>
    <n v="3"/>
    <n v="4"/>
    <n v="80"/>
    <n v="0"/>
    <n v="7"/>
    <n v="2"/>
    <n v="7"/>
    <n v="7"/>
    <n v="0"/>
    <n v="3"/>
  </r>
  <r>
    <s v="Yes"/>
    <s v="Travel_Rarely"/>
    <s v="35 - 44"/>
    <s v="Ex-Employees"/>
    <s v="R&amp;D"/>
    <x v="0"/>
    <s v="STAFF-261"/>
    <n v="261"/>
    <x v="1"/>
    <s v="Manufacturing Director"/>
    <s v="Married"/>
    <s v="Yes"/>
    <s v="Y"/>
    <n v="1"/>
    <n v="-2"/>
    <n v="0"/>
    <n v="35"/>
    <n v="1"/>
    <n v="1"/>
    <n v="1"/>
    <n v="0"/>
    <n v="556"/>
    <n v="23"/>
    <s v="Associates Degree"/>
    <n v="1"/>
    <n v="2"/>
    <n v="50"/>
    <n v="2"/>
    <n v="2"/>
    <x v="1"/>
    <n v="5916"/>
    <n v="15497"/>
    <n v="3"/>
    <n v="13"/>
    <n v="3"/>
    <n v="1"/>
    <n v="80"/>
    <n v="0"/>
    <n v="8"/>
    <n v="3"/>
    <n v="1"/>
    <n v="0"/>
    <n v="0"/>
    <n v="1"/>
  </r>
  <r>
    <s v="No"/>
    <s v="Non-Travel"/>
    <s v="35 - 44"/>
    <s v="Current Employees"/>
    <s v="R&amp;D"/>
    <x v="2"/>
    <s v="STAFF-262"/>
    <n v="262"/>
    <x v="1"/>
    <s v="Research Scientist"/>
    <s v="Divorced"/>
    <s v="No"/>
    <s v="Y"/>
    <n v="3"/>
    <n v="-2"/>
    <n v="0"/>
    <n v="43"/>
    <n v="0"/>
    <m/>
    <n v="0"/>
    <n v="1"/>
    <n v="1344"/>
    <n v="7"/>
    <s v="Bachelor's Degree"/>
    <n v="1"/>
    <n v="4"/>
    <n v="37"/>
    <n v="4"/>
    <n v="1"/>
    <x v="0"/>
    <n v="2089"/>
    <n v="5228"/>
    <n v="4"/>
    <n v="14"/>
    <n v="3"/>
    <n v="4"/>
    <n v="80"/>
    <n v="3"/>
    <n v="7"/>
    <n v="4"/>
    <n v="5"/>
    <n v="4"/>
    <n v="2"/>
    <n v="2"/>
  </r>
  <r>
    <s v="No"/>
    <s v="Non-Travel"/>
    <s v="45 - 54"/>
    <s v="Current Employees"/>
    <s v="R&amp;D"/>
    <x v="2"/>
    <s v="STAFF-264"/>
    <n v="264"/>
    <x v="1"/>
    <s v="Manager"/>
    <s v="Married"/>
    <s v="No"/>
    <s v="Y"/>
    <n v="1"/>
    <n v="-2"/>
    <n v="0"/>
    <n v="45"/>
    <n v="0"/>
    <m/>
    <n v="0"/>
    <n v="1"/>
    <n v="1195"/>
    <n v="2"/>
    <s v="Associates Degree"/>
    <n v="1"/>
    <n v="1"/>
    <n v="65"/>
    <n v="2"/>
    <n v="4"/>
    <x v="0"/>
    <n v="16792"/>
    <n v="20462"/>
    <n v="9"/>
    <n v="23"/>
    <n v="4"/>
    <n v="4"/>
    <n v="80"/>
    <n v="1"/>
    <n v="22"/>
    <n v="3"/>
    <n v="20"/>
    <n v="8"/>
    <n v="11"/>
    <n v="8"/>
  </r>
  <r>
    <s v="No"/>
    <s v="Travel_Rarely"/>
    <s v="35 - 44"/>
    <s v="Current Employees"/>
    <s v="R&amp;D"/>
    <x v="0"/>
    <s v="STAFF-267"/>
    <n v="267"/>
    <x v="1"/>
    <s v="Research Scientist"/>
    <s v="Married"/>
    <s v="Yes"/>
    <s v="Y"/>
    <n v="3"/>
    <n v="-2"/>
    <n v="0"/>
    <n v="37"/>
    <n v="0"/>
    <m/>
    <n v="0"/>
    <n v="1"/>
    <n v="290"/>
    <n v="21"/>
    <s v="Bachelor's Degree"/>
    <n v="1"/>
    <n v="2"/>
    <n v="65"/>
    <n v="4"/>
    <n v="1"/>
    <x v="1"/>
    <n v="3564"/>
    <n v="22977"/>
    <n v="1"/>
    <n v="12"/>
    <n v="3"/>
    <n v="1"/>
    <n v="80"/>
    <n v="1"/>
    <n v="8"/>
    <n v="2"/>
    <n v="8"/>
    <n v="7"/>
    <n v="1"/>
    <n v="7"/>
  </r>
  <r>
    <s v="No"/>
    <s v="Travel_Frequently"/>
    <s v="35 - 44"/>
    <s v="Current Employees"/>
    <s v="R&amp;D"/>
    <x v="2"/>
    <s v="STAFF-269"/>
    <n v="269"/>
    <x v="0"/>
    <s v="Laboratory Technician"/>
    <s v="Single"/>
    <s v="No"/>
    <s v="Y"/>
    <n v="5"/>
    <n v="-2"/>
    <n v="0"/>
    <n v="35"/>
    <n v="0"/>
    <m/>
    <n v="0"/>
    <n v="1"/>
    <n v="138"/>
    <n v="2"/>
    <s v="Bachelor's Degree"/>
    <n v="1"/>
    <n v="2"/>
    <n v="37"/>
    <n v="3"/>
    <n v="2"/>
    <x v="2"/>
    <n v="4425"/>
    <n v="15986"/>
    <n v="5"/>
    <n v="11"/>
    <n v="3"/>
    <n v="4"/>
    <n v="80"/>
    <n v="0"/>
    <n v="10"/>
    <n v="3"/>
    <n v="6"/>
    <n v="2"/>
    <n v="1"/>
    <n v="2"/>
  </r>
  <r>
    <s v="No"/>
    <s v="Non-Travel"/>
    <s v="35 - 44"/>
    <s v="Current Employees"/>
    <s v="R&amp;D"/>
    <x v="2"/>
    <s v="STAFF-270"/>
    <n v="270"/>
    <x v="0"/>
    <s v="Manufacturing Director"/>
    <s v="Divorced"/>
    <s v="No"/>
    <s v="Y"/>
    <n v="5"/>
    <n v="-2"/>
    <n v="0"/>
    <n v="42"/>
    <n v="0"/>
    <m/>
    <n v="0"/>
    <n v="1"/>
    <n v="926"/>
    <n v="21"/>
    <s v="Associates Degree"/>
    <n v="1"/>
    <n v="3"/>
    <n v="36"/>
    <n v="3"/>
    <n v="2"/>
    <x v="2"/>
    <n v="5265"/>
    <n v="16439"/>
    <n v="2"/>
    <n v="16"/>
    <n v="3"/>
    <n v="2"/>
    <n v="80"/>
    <n v="1"/>
    <n v="11"/>
    <n v="3"/>
    <n v="5"/>
    <n v="3"/>
    <n v="0"/>
    <n v="2"/>
  </r>
  <r>
    <s v="No"/>
    <s v="Travel_Rarely"/>
    <s v="35 - 44"/>
    <s v="Current Employees"/>
    <s v="R&amp;D"/>
    <x v="0"/>
    <s v="STAFF-271"/>
    <n v="271"/>
    <x v="1"/>
    <s v="Manufacturing Director"/>
    <s v="Married"/>
    <s v="No"/>
    <s v="Y"/>
    <n v="3"/>
    <n v="-2"/>
    <n v="0"/>
    <n v="38"/>
    <n v="0"/>
    <m/>
    <n v="0"/>
    <n v="1"/>
    <n v="1261"/>
    <n v="2"/>
    <s v="Master's Degree"/>
    <n v="1"/>
    <n v="4"/>
    <n v="88"/>
    <n v="3"/>
    <n v="2"/>
    <x v="1"/>
    <n v="6553"/>
    <n v="7259"/>
    <n v="9"/>
    <n v="14"/>
    <n v="3"/>
    <n v="2"/>
    <n v="80"/>
    <n v="0"/>
    <n v="14"/>
    <n v="3"/>
    <n v="1"/>
    <n v="0"/>
    <n v="0"/>
    <n v="0"/>
  </r>
  <r>
    <s v="No"/>
    <s v="Travel_Rarely"/>
    <s v="35 - 44"/>
    <s v="Current Employees"/>
    <s v="R&amp;D"/>
    <x v="4"/>
    <s v="STAFF-273"/>
    <n v="273"/>
    <x v="1"/>
    <s v="Manufacturing Director"/>
    <s v="Married"/>
    <s v="No"/>
    <s v="Y"/>
    <n v="3"/>
    <n v="-2"/>
    <n v="0"/>
    <n v="38"/>
    <n v="0"/>
    <m/>
    <n v="0"/>
    <n v="1"/>
    <n v="1084"/>
    <n v="29"/>
    <s v="Bachelor's Degree"/>
    <n v="1"/>
    <n v="4"/>
    <n v="54"/>
    <n v="3"/>
    <n v="2"/>
    <x v="0"/>
    <n v="6261"/>
    <n v="4185"/>
    <n v="3"/>
    <n v="18"/>
    <n v="3"/>
    <n v="1"/>
    <n v="80"/>
    <n v="1"/>
    <n v="9"/>
    <n v="1"/>
    <n v="7"/>
    <n v="7"/>
    <n v="1"/>
    <n v="7"/>
  </r>
  <r>
    <s v="No"/>
    <s v="Travel_Frequently"/>
    <s v="25 - 34"/>
    <s v="Current Employees"/>
    <s v="R&amp;D"/>
    <x v="4"/>
    <s v="STAFF-274"/>
    <n v="274"/>
    <x v="1"/>
    <s v="Manufacturing Director"/>
    <s v="Married"/>
    <s v="No"/>
    <s v="Y"/>
    <n v="1"/>
    <n v="-2"/>
    <n v="0"/>
    <n v="27"/>
    <n v="0"/>
    <m/>
    <n v="0"/>
    <n v="1"/>
    <n v="472"/>
    <n v="1"/>
    <s v="High School"/>
    <n v="1"/>
    <n v="3"/>
    <n v="60"/>
    <n v="2"/>
    <n v="2"/>
    <x v="0"/>
    <n v="4298"/>
    <n v="9679"/>
    <n v="5"/>
    <n v="19"/>
    <n v="3"/>
    <n v="3"/>
    <n v="80"/>
    <n v="1"/>
    <n v="6"/>
    <n v="3"/>
    <n v="2"/>
    <n v="2"/>
    <n v="2"/>
    <n v="0"/>
  </r>
  <r>
    <s v="No"/>
    <s v="Non-Travel"/>
    <s v="45 - 54"/>
    <s v="Current Employees"/>
    <s v="R&amp;D"/>
    <x v="0"/>
    <s v="STAFF-275"/>
    <n v="275"/>
    <x v="1"/>
    <s v="Manufacturing Director"/>
    <s v="Divorced"/>
    <s v="Yes"/>
    <s v="Y"/>
    <n v="0"/>
    <n v="-2"/>
    <n v="0"/>
    <n v="49"/>
    <n v="0"/>
    <m/>
    <n v="0"/>
    <n v="1"/>
    <n v="1002"/>
    <n v="18"/>
    <s v="Master's Degree"/>
    <n v="1"/>
    <n v="4"/>
    <n v="92"/>
    <n v="3"/>
    <n v="2"/>
    <x v="1"/>
    <n v="6804"/>
    <n v="23793"/>
    <n v="1"/>
    <n v="15"/>
    <n v="3"/>
    <n v="1"/>
    <n v="80"/>
    <n v="2"/>
    <n v="7"/>
    <n v="3"/>
    <n v="7"/>
    <n v="7"/>
    <n v="1"/>
    <n v="7"/>
  </r>
  <r>
    <s v="No"/>
    <s v="Travel_Frequently"/>
    <s v="25 - 34"/>
    <s v="Current Employees"/>
    <s v="R&amp;D"/>
    <x v="2"/>
    <s v="STAFF-277"/>
    <n v="277"/>
    <x v="1"/>
    <s v="Research Scientist"/>
    <s v="Divorced"/>
    <s v="Yes"/>
    <s v="Y"/>
    <n v="4"/>
    <n v="-2"/>
    <n v="0"/>
    <n v="34"/>
    <n v="0"/>
    <m/>
    <n v="0"/>
    <n v="1"/>
    <n v="878"/>
    <n v="10"/>
    <s v="Master's Degree"/>
    <n v="1"/>
    <n v="4"/>
    <n v="43"/>
    <n v="3"/>
    <n v="1"/>
    <x v="2"/>
    <n v="3815"/>
    <n v="5972"/>
    <n v="1"/>
    <n v="17"/>
    <n v="3"/>
    <n v="4"/>
    <n v="80"/>
    <n v="1"/>
    <n v="5"/>
    <n v="4"/>
    <n v="5"/>
    <n v="3"/>
    <n v="2"/>
    <n v="0"/>
  </r>
  <r>
    <s v="No"/>
    <s v="Travel_Rarely"/>
    <s v="35 - 44"/>
    <s v="Current Employees"/>
    <s v="R&amp;D"/>
    <x v="2"/>
    <s v="STAFF-281"/>
    <n v="281"/>
    <x v="1"/>
    <s v="Laboratory Technician"/>
    <s v="Married"/>
    <s v="Yes"/>
    <s v="Y"/>
    <n v="2"/>
    <n v="-2"/>
    <n v="0"/>
    <n v="40"/>
    <n v="0"/>
    <m/>
    <n v="0"/>
    <n v="1"/>
    <n v="905"/>
    <n v="19"/>
    <s v="Associates Degree"/>
    <n v="1"/>
    <n v="3"/>
    <n v="99"/>
    <n v="3"/>
    <n v="2"/>
    <x v="0"/>
    <n v="2741"/>
    <n v="16523"/>
    <n v="8"/>
    <n v="15"/>
    <n v="3"/>
    <n v="3"/>
    <n v="80"/>
    <n v="1"/>
    <n v="15"/>
    <n v="4"/>
    <n v="7"/>
    <n v="2"/>
    <n v="3"/>
    <n v="7"/>
  </r>
  <r>
    <s v="Yes"/>
    <s v="Travel_Rarely"/>
    <s v="35 - 44"/>
    <s v="Ex-Employees"/>
    <s v="R&amp;D"/>
    <x v="2"/>
    <s v="STAFF-282"/>
    <n v="282"/>
    <x v="1"/>
    <s v="Healthcare Representative"/>
    <s v="Married"/>
    <s v="Yes"/>
    <s v="Y"/>
    <n v="2"/>
    <n v="-2"/>
    <n v="0"/>
    <n v="38"/>
    <n v="1"/>
    <n v="1"/>
    <n v="1"/>
    <n v="0"/>
    <n v="1180"/>
    <n v="29"/>
    <s v="High School"/>
    <n v="1"/>
    <n v="2"/>
    <n v="70"/>
    <n v="3"/>
    <n v="2"/>
    <x v="2"/>
    <n v="6673"/>
    <n v="11354"/>
    <n v="7"/>
    <n v="19"/>
    <n v="3"/>
    <n v="2"/>
    <n v="80"/>
    <n v="0"/>
    <n v="17"/>
    <n v="3"/>
    <n v="1"/>
    <n v="0"/>
    <n v="0"/>
    <n v="0"/>
  </r>
  <r>
    <s v="Yes"/>
    <s v="Travel_Rarely"/>
    <s v="25 - 34"/>
    <s v="Ex-Employees"/>
    <s v="Sales"/>
    <x v="3"/>
    <s v="STAFF-283"/>
    <n v="283"/>
    <x v="0"/>
    <s v="Sales Executive"/>
    <s v="Married"/>
    <s v="No"/>
    <s v="Y"/>
    <n v="3"/>
    <n v="-2"/>
    <n v="0"/>
    <n v="29"/>
    <n v="1"/>
    <n v="1"/>
    <n v="1"/>
    <n v="0"/>
    <n v="121"/>
    <n v="27"/>
    <s v="Bachelor's Degree"/>
    <n v="1"/>
    <n v="2"/>
    <n v="35"/>
    <n v="3"/>
    <n v="3"/>
    <x v="0"/>
    <n v="7639"/>
    <n v="24525"/>
    <n v="1"/>
    <n v="22"/>
    <n v="4"/>
    <n v="4"/>
    <n v="80"/>
    <n v="3"/>
    <n v="10"/>
    <n v="2"/>
    <n v="10"/>
    <n v="4"/>
    <n v="1"/>
    <n v="9"/>
  </r>
  <r>
    <s v="No"/>
    <s v="Travel_Rarely"/>
    <s v="Under 25"/>
    <s v="Current Employees"/>
    <s v="R&amp;D"/>
    <x v="0"/>
    <s v="STAFF-284"/>
    <n v="284"/>
    <x v="1"/>
    <s v="Research Scientist"/>
    <s v="Divorced"/>
    <s v="Yes"/>
    <s v="Y"/>
    <n v="2"/>
    <n v="-2"/>
    <n v="0"/>
    <n v="22"/>
    <n v="0"/>
    <m/>
    <n v="0"/>
    <n v="1"/>
    <n v="1136"/>
    <n v="5"/>
    <s v="Bachelor's Degree"/>
    <n v="1"/>
    <n v="4"/>
    <n v="60"/>
    <n v="4"/>
    <n v="1"/>
    <x v="1"/>
    <n v="2328"/>
    <n v="12392"/>
    <n v="1"/>
    <n v="16"/>
    <n v="3"/>
    <n v="1"/>
    <n v="80"/>
    <n v="1"/>
    <n v="4"/>
    <n v="2"/>
    <n v="4"/>
    <n v="2"/>
    <n v="2"/>
    <n v="2"/>
  </r>
  <r>
    <s v="No"/>
    <s v="Travel_Frequently"/>
    <s v="35 - 44"/>
    <s v="Current Employees"/>
    <s v="R&amp;D"/>
    <x v="2"/>
    <s v="STAFF-286"/>
    <n v="286"/>
    <x v="0"/>
    <s v="Laboratory Technician"/>
    <s v="Single"/>
    <s v="No"/>
    <s v="Y"/>
    <n v="2"/>
    <n v="-2"/>
    <n v="0"/>
    <n v="36"/>
    <n v="0"/>
    <m/>
    <n v="0"/>
    <n v="1"/>
    <n v="635"/>
    <n v="18"/>
    <s v="High School"/>
    <n v="1"/>
    <n v="2"/>
    <n v="73"/>
    <n v="3"/>
    <n v="1"/>
    <x v="0"/>
    <n v="2153"/>
    <n v="7703"/>
    <n v="1"/>
    <n v="13"/>
    <n v="3"/>
    <n v="1"/>
    <n v="80"/>
    <n v="0"/>
    <n v="8"/>
    <n v="3"/>
    <n v="8"/>
    <n v="1"/>
    <n v="1"/>
    <n v="7"/>
  </r>
  <r>
    <s v="No"/>
    <s v="Non-Travel"/>
    <s v="35 - 44"/>
    <s v="Current Employees"/>
    <s v="R&amp;D"/>
    <x v="0"/>
    <s v="STAFF-287"/>
    <n v="287"/>
    <x v="1"/>
    <s v="Healthcare Representative"/>
    <s v="Married"/>
    <s v="No"/>
    <s v="Y"/>
    <n v="5"/>
    <n v="-2"/>
    <n v="0"/>
    <n v="40"/>
    <n v="0"/>
    <m/>
    <n v="0"/>
    <n v="1"/>
    <n v="1151"/>
    <n v="9"/>
    <s v="Doctoral Degree"/>
    <n v="1"/>
    <n v="4"/>
    <n v="63"/>
    <n v="2"/>
    <n v="2"/>
    <x v="1"/>
    <n v="4876"/>
    <n v="14242"/>
    <n v="9"/>
    <n v="14"/>
    <n v="3"/>
    <n v="4"/>
    <n v="80"/>
    <n v="1"/>
    <n v="5"/>
    <n v="1"/>
    <n v="3"/>
    <n v="2"/>
    <n v="0"/>
    <n v="2"/>
  </r>
  <r>
    <s v="No"/>
    <s v="Travel_Rarely"/>
    <s v="45 - 54"/>
    <s v="Current Employees"/>
    <s v="R&amp;D"/>
    <x v="2"/>
    <s v="STAFF-288"/>
    <n v="288"/>
    <x v="1"/>
    <s v="Healthcare Representative"/>
    <s v="Divorced"/>
    <s v="No"/>
    <s v="Y"/>
    <n v="3"/>
    <n v="-2"/>
    <n v="0"/>
    <n v="46"/>
    <n v="0"/>
    <m/>
    <n v="0"/>
    <n v="1"/>
    <n v="644"/>
    <n v="1"/>
    <s v="Master's Degree"/>
    <n v="1"/>
    <n v="4"/>
    <n v="97"/>
    <n v="3"/>
    <n v="3"/>
    <x v="2"/>
    <n v="9396"/>
    <n v="12368"/>
    <n v="7"/>
    <n v="16"/>
    <n v="3"/>
    <n v="3"/>
    <n v="80"/>
    <n v="1"/>
    <n v="17"/>
    <n v="3"/>
    <n v="4"/>
    <n v="2"/>
    <n v="0"/>
    <n v="3"/>
  </r>
  <r>
    <s v="Yes"/>
    <s v="Travel_Rarely"/>
    <s v="25 - 34"/>
    <s v="Ex-Employees"/>
    <s v="Sales"/>
    <x v="2"/>
    <s v="STAFF-291"/>
    <n v="291"/>
    <x v="1"/>
    <s v="Sales Executive"/>
    <s v="Married"/>
    <s v="No"/>
    <s v="Y"/>
    <n v="2"/>
    <n v="-2"/>
    <n v="0"/>
    <n v="32"/>
    <n v="1"/>
    <n v="1"/>
    <n v="1"/>
    <n v="0"/>
    <n v="1045"/>
    <n v="4"/>
    <s v="Master's Degree"/>
    <n v="1"/>
    <n v="4"/>
    <n v="32"/>
    <n v="1"/>
    <n v="3"/>
    <x v="0"/>
    <n v="10400"/>
    <n v="25812"/>
    <n v="1"/>
    <n v="11"/>
    <n v="3"/>
    <n v="3"/>
    <n v="80"/>
    <n v="0"/>
    <n v="14"/>
    <n v="2"/>
    <n v="14"/>
    <n v="8"/>
    <n v="9"/>
    <n v="8"/>
  </r>
  <r>
    <s v="No"/>
    <s v="Non-Travel"/>
    <s v="25 - 34"/>
    <s v="Current Employees"/>
    <s v="R&amp;D"/>
    <x v="0"/>
    <s v="STAFF-292"/>
    <n v="292"/>
    <x v="1"/>
    <s v="Manufacturing Director"/>
    <s v="Single"/>
    <s v="No"/>
    <s v="Y"/>
    <n v="2"/>
    <n v="-2"/>
    <n v="0"/>
    <n v="30"/>
    <n v="0"/>
    <m/>
    <n v="0"/>
    <n v="1"/>
    <n v="829"/>
    <n v="1"/>
    <s v="High School"/>
    <n v="1"/>
    <n v="3"/>
    <n v="88"/>
    <n v="2"/>
    <n v="3"/>
    <x v="1"/>
    <n v="8474"/>
    <n v="20925"/>
    <n v="1"/>
    <n v="22"/>
    <n v="4"/>
    <n v="3"/>
    <n v="80"/>
    <n v="0"/>
    <n v="12"/>
    <n v="3"/>
    <n v="11"/>
    <n v="8"/>
    <n v="5"/>
    <n v="8"/>
  </r>
  <r>
    <s v="No"/>
    <s v="Travel_Frequently"/>
    <s v="25 - 34"/>
    <s v="Current Employees"/>
    <s v="Sales"/>
    <x v="0"/>
    <s v="STAFF-293"/>
    <n v="293"/>
    <x v="0"/>
    <s v="Sales Executive"/>
    <s v="Single"/>
    <s v="No"/>
    <s v="Y"/>
    <n v="2"/>
    <n v="-2"/>
    <n v="0"/>
    <n v="27"/>
    <n v="0"/>
    <m/>
    <n v="0"/>
    <n v="1"/>
    <n v="1242"/>
    <n v="20"/>
    <s v="Bachelor's Degree"/>
    <n v="1"/>
    <n v="4"/>
    <n v="90"/>
    <n v="3"/>
    <n v="2"/>
    <x v="1"/>
    <n v="9981"/>
    <n v="12916"/>
    <n v="1"/>
    <n v="14"/>
    <n v="3"/>
    <n v="4"/>
    <n v="80"/>
    <n v="0"/>
    <n v="7"/>
    <n v="3"/>
    <n v="7"/>
    <n v="7"/>
    <n v="0"/>
    <n v="7"/>
  </r>
  <r>
    <s v="No"/>
    <s v="Travel_Rarely"/>
    <s v="45 - 54"/>
    <s v="Current Employees"/>
    <s v="R&amp;D"/>
    <x v="0"/>
    <s v="STAFF-296"/>
    <n v="296"/>
    <x v="1"/>
    <s v="Research Director"/>
    <s v="Married"/>
    <s v="No"/>
    <s v="Y"/>
    <n v="5"/>
    <n v="-2"/>
    <n v="0"/>
    <n v="51"/>
    <n v="0"/>
    <m/>
    <n v="0"/>
    <n v="1"/>
    <n v="1469"/>
    <n v="8"/>
    <s v="Master's Degree"/>
    <n v="1"/>
    <n v="2"/>
    <n v="81"/>
    <n v="2"/>
    <n v="3"/>
    <x v="1"/>
    <n v="12490"/>
    <n v="15736"/>
    <n v="5"/>
    <n v="16"/>
    <n v="3"/>
    <n v="4"/>
    <n v="80"/>
    <n v="2"/>
    <n v="16"/>
    <n v="1"/>
    <n v="10"/>
    <n v="9"/>
    <n v="4"/>
    <n v="7"/>
  </r>
  <r>
    <s v="Yes"/>
    <s v="Travel_Rarely"/>
    <s v="25 - 34"/>
    <s v="Ex-Employees"/>
    <s v="R&amp;D"/>
    <x v="4"/>
    <s v="STAFF-297"/>
    <n v="297"/>
    <x v="0"/>
    <s v="Research Scientist"/>
    <s v="Single"/>
    <s v="Yes"/>
    <s v="Y"/>
    <n v="5"/>
    <n v="-2"/>
    <n v="0"/>
    <n v="30"/>
    <n v="1"/>
    <n v="1"/>
    <n v="1"/>
    <n v="0"/>
    <n v="1005"/>
    <n v="3"/>
    <s v="Bachelor's Degree"/>
    <n v="1"/>
    <n v="4"/>
    <n v="88"/>
    <n v="3"/>
    <n v="1"/>
    <x v="0"/>
    <n v="2657"/>
    <n v="8556"/>
    <n v="5"/>
    <n v="11"/>
    <n v="3"/>
    <n v="3"/>
    <n v="80"/>
    <n v="0"/>
    <n v="8"/>
    <n v="3"/>
    <n v="5"/>
    <n v="2"/>
    <n v="0"/>
    <n v="4"/>
  </r>
  <r>
    <s v="No"/>
    <s v="Travel_Rarely"/>
    <s v="35 - 44"/>
    <s v="Current Employees"/>
    <s v="Sales"/>
    <x v="0"/>
    <s v="STAFF-298"/>
    <n v="298"/>
    <x v="0"/>
    <s v="Manager"/>
    <s v="Single"/>
    <s v="Yes"/>
    <s v="Y"/>
    <n v="3"/>
    <n v="-2"/>
    <n v="0"/>
    <n v="41"/>
    <n v="0"/>
    <m/>
    <n v="0"/>
    <n v="1"/>
    <n v="896"/>
    <n v="6"/>
    <s v="Bachelor's Degree"/>
    <n v="1"/>
    <n v="4"/>
    <n v="75"/>
    <n v="3"/>
    <n v="3"/>
    <x v="1"/>
    <n v="13591"/>
    <n v="14674"/>
    <n v="3"/>
    <n v="18"/>
    <n v="3"/>
    <n v="3"/>
    <n v="80"/>
    <n v="0"/>
    <n v="16"/>
    <n v="3"/>
    <n v="1"/>
    <n v="0"/>
    <n v="0"/>
    <n v="0"/>
  </r>
  <r>
    <s v="Yes"/>
    <s v="Travel_Frequently"/>
    <s v="25 - 34"/>
    <s v="Ex-Employees"/>
    <s v="Sales"/>
    <x v="3"/>
    <s v="STAFF-299"/>
    <n v="299"/>
    <x v="0"/>
    <s v="Sales Executive"/>
    <s v="Single"/>
    <s v="No"/>
    <s v="Y"/>
    <n v="5"/>
    <n v="-2"/>
    <n v="0"/>
    <n v="30"/>
    <n v="1"/>
    <n v="1"/>
    <n v="1"/>
    <n v="0"/>
    <n v="334"/>
    <n v="26"/>
    <s v="Master's Degree"/>
    <n v="1"/>
    <n v="3"/>
    <n v="52"/>
    <n v="2"/>
    <n v="2"/>
    <x v="2"/>
    <n v="6696"/>
    <n v="22967"/>
    <n v="5"/>
    <n v="15"/>
    <n v="3"/>
    <n v="3"/>
    <n v="80"/>
    <n v="0"/>
    <n v="9"/>
    <n v="2"/>
    <n v="6"/>
    <n v="3"/>
    <n v="0"/>
    <n v="1"/>
  </r>
  <r>
    <s v="Yes"/>
    <s v="Travel_Rarely"/>
    <s v="25 - 34"/>
    <s v="Ex-Employees"/>
    <s v="R&amp;D"/>
    <x v="4"/>
    <s v="STAFF-300"/>
    <n v="300"/>
    <x v="1"/>
    <s v="Research Scientist"/>
    <s v="Single"/>
    <s v="No"/>
    <s v="Y"/>
    <n v="1"/>
    <n v="-2"/>
    <n v="0"/>
    <n v="29"/>
    <n v="1"/>
    <n v="1"/>
    <n v="1"/>
    <n v="0"/>
    <n v="992"/>
    <n v="1"/>
    <s v="Bachelor's Degree"/>
    <n v="1"/>
    <n v="3"/>
    <n v="85"/>
    <n v="3"/>
    <n v="1"/>
    <x v="0"/>
    <n v="2058"/>
    <n v="19757"/>
    <n v="0"/>
    <n v="14"/>
    <n v="3"/>
    <n v="4"/>
    <n v="80"/>
    <n v="0"/>
    <n v="7"/>
    <n v="2"/>
    <n v="6"/>
    <n v="2"/>
    <n v="1"/>
    <n v="5"/>
  </r>
  <r>
    <s v="No"/>
    <s v="Non-Travel"/>
    <s v="45 - 54"/>
    <s v="Current Employees"/>
    <s v="Sales"/>
    <x v="2"/>
    <s v="STAFF-302"/>
    <n v="302"/>
    <x v="0"/>
    <s v="Sales Executive"/>
    <s v="Single"/>
    <s v="No"/>
    <s v="Y"/>
    <n v="2"/>
    <n v="-2"/>
    <n v="0"/>
    <n v="45"/>
    <n v="0"/>
    <m/>
    <n v="0"/>
    <n v="1"/>
    <n v="1052"/>
    <n v="6"/>
    <s v="Bachelor's Degree"/>
    <n v="1"/>
    <n v="4"/>
    <n v="57"/>
    <n v="2"/>
    <n v="3"/>
    <x v="0"/>
    <n v="8865"/>
    <n v="16840"/>
    <n v="6"/>
    <n v="12"/>
    <n v="3"/>
    <n v="4"/>
    <n v="80"/>
    <n v="0"/>
    <n v="23"/>
    <n v="3"/>
    <n v="19"/>
    <n v="7"/>
    <n v="12"/>
    <n v="8"/>
  </r>
  <r>
    <s v="No"/>
    <s v="Travel_Rarely"/>
    <s v="45 - 54"/>
    <s v="Current Employees"/>
    <s v="Sales"/>
    <x v="3"/>
    <s v="STAFF-303"/>
    <n v="303"/>
    <x v="0"/>
    <s v="Sales Executive"/>
    <s v="Married"/>
    <s v="No"/>
    <s v="Y"/>
    <n v="4"/>
    <n v="-2"/>
    <n v="0"/>
    <n v="54"/>
    <n v="0"/>
    <m/>
    <n v="0"/>
    <n v="1"/>
    <n v="1147"/>
    <n v="3"/>
    <s v="Bachelor's Degree"/>
    <n v="1"/>
    <n v="4"/>
    <n v="52"/>
    <n v="3"/>
    <n v="2"/>
    <x v="3"/>
    <n v="5940"/>
    <n v="17011"/>
    <n v="2"/>
    <n v="14"/>
    <n v="3"/>
    <n v="4"/>
    <n v="80"/>
    <n v="1"/>
    <n v="16"/>
    <n v="3"/>
    <n v="6"/>
    <n v="2"/>
    <n v="0"/>
    <n v="5"/>
  </r>
  <r>
    <s v="No"/>
    <s v="Travel_Rarely"/>
    <s v="35 - 44"/>
    <s v="Current Employees"/>
    <s v="R&amp;D"/>
    <x v="0"/>
    <s v="STAFF-304"/>
    <n v="304"/>
    <x v="1"/>
    <s v="Laboratory Technician"/>
    <s v="Single"/>
    <s v="No"/>
    <s v="Y"/>
    <n v="3"/>
    <n v="-2"/>
    <n v="0"/>
    <n v="36"/>
    <n v="0"/>
    <m/>
    <n v="0"/>
    <n v="1"/>
    <n v="1396"/>
    <n v="5"/>
    <s v="Associates Degree"/>
    <n v="1"/>
    <n v="4"/>
    <n v="62"/>
    <n v="3"/>
    <n v="2"/>
    <x v="1"/>
    <n v="5914"/>
    <n v="9945"/>
    <n v="8"/>
    <n v="16"/>
    <n v="3"/>
    <n v="4"/>
    <n v="80"/>
    <n v="0"/>
    <n v="16"/>
    <n v="4"/>
    <n v="13"/>
    <n v="11"/>
    <n v="3"/>
    <n v="7"/>
  </r>
  <r>
    <s v="No"/>
    <s v="Travel_Rarely"/>
    <s v="25 - 34"/>
    <s v="Current Employees"/>
    <s v="R&amp;D"/>
    <x v="2"/>
    <s v="STAFF-305"/>
    <n v="305"/>
    <x v="0"/>
    <s v="Research Scientist"/>
    <s v="Married"/>
    <s v="No"/>
    <s v="Y"/>
    <n v="3"/>
    <n v="-2"/>
    <n v="0"/>
    <n v="33"/>
    <n v="0"/>
    <m/>
    <n v="0"/>
    <n v="1"/>
    <n v="147"/>
    <n v="4"/>
    <s v="Master's Degree"/>
    <n v="1"/>
    <n v="3"/>
    <n v="47"/>
    <n v="2"/>
    <n v="1"/>
    <x v="2"/>
    <n v="2622"/>
    <n v="13248"/>
    <n v="6"/>
    <n v="21"/>
    <n v="4"/>
    <n v="4"/>
    <n v="80"/>
    <n v="0"/>
    <n v="7"/>
    <n v="3"/>
    <n v="3"/>
    <n v="2"/>
    <n v="1"/>
    <n v="1"/>
  </r>
  <r>
    <s v="No"/>
    <s v="Travel_Frequently"/>
    <s v="35 - 44"/>
    <s v="Current Employees"/>
    <s v="R&amp;D"/>
    <x v="1"/>
    <s v="STAFF-306"/>
    <n v="306"/>
    <x v="1"/>
    <s v="Research Director"/>
    <s v="Divorced"/>
    <s v="Yes"/>
    <s v="Y"/>
    <n v="1"/>
    <n v="-2"/>
    <n v="0"/>
    <n v="37"/>
    <n v="0"/>
    <m/>
    <n v="0"/>
    <n v="1"/>
    <n v="663"/>
    <n v="11"/>
    <s v="Bachelor's Degree"/>
    <n v="1"/>
    <n v="2"/>
    <n v="47"/>
    <n v="3"/>
    <n v="3"/>
    <x v="0"/>
    <n v="12185"/>
    <n v="10056"/>
    <n v="1"/>
    <n v="14"/>
    <n v="3"/>
    <n v="3"/>
    <n v="80"/>
    <n v="3"/>
    <n v="10"/>
    <n v="3"/>
    <n v="10"/>
    <n v="8"/>
    <n v="0"/>
    <n v="7"/>
  </r>
  <r>
    <s v="No"/>
    <s v="Travel_Rarely"/>
    <s v="35 - 44"/>
    <s v="Current Employees"/>
    <s v="Sales"/>
    <x v="0"/>
    <s v="STAFF-307"/>
    <n v="307"/>
    <x v="1"/>
    <s v="Sales Executive"/>
    <s v="Divorced"/>
    <s v="No"/>
    <s v="Y"/>
    <n v="6"/>
    <n v="-2"/>
    <n v="0"/>
    <n v="38"/>
    <n v="0"/>
    <m/>
    <n v="0"/>
    <n v="1"/>
    <n v="119"/>
    <n v="3"/>
    <s v="Bachelor's Degree"/>
    <n v="1"/>
    <n v="1"/>
    <n v="76"/>
    <n v="3"/>
    <n v="3"/>
    <x v="1"/>
    <n v="10609"/>
    <n v="9647"/>
    <n v="0"/>
    <n v="12"/>
    <n v="3"/>
    <n v="3"/>
    <n v="80"/>
    <n v="2"/>
    <n v="17"/>
    <n v="2"/>
    <n v="16"/>
    <n v="10"/>
    <n v="5"/>
    <n v="13"/>
  </r>
  <r>
    <s v="No"/>
    <s v="Non-Travel"/>
    <s v="25 - 34"/>
    <s v="Current Employees"/>
    <s v="R&amp;D"/>
    <x v="2"/>
    <s v="STAFF-308"/>
    <n v="308"/>
    <x v="1"/>
    <s v="Manufacturing Director"/>
    <s v="Married"/>
    <s v="No"/>
    <s v="Y"/>
    <n v="2"/>
    <n v="-2"/>
    <n v="0"/>
    <n v="31"/>
    <n v="0"/>
    <m/>
    <n v="0"/>
    <n v="1"/>
    <n v="979"/>
    <n v="1"/>
    <s v="Master's Degree"/>
    <n v="1"/>
    <n v="3"/>
    <n v="90"/>
    <n v="1"/>
    <n v="2"/>
    <x v="2"/>
    <n v="4345"/>
    <n v="4381"/>
    <n v="0"/>
    <n v="12"/>
    <n v="3"/>
    <n v="4"/>
    <n v="80"/>
    <n v="1"/>
    <n v="6"/>
    <n v="3"/>
    <n v="5"/>
    <n v="4"/>
    <n v="1"/>
    <n v="4"/>
  </r>
  <r>
    <s v="No"/>
    <s v="Travel_Rarely"/>
    <s v="Over 55"/>
    <s v="Current Employees"/>
    <s v="R&amp;D"/>
    <x v="0"/>
    <s v="STAFF-309"/>
    <n v="309"/>
    <x v="1"/>
    <s v="Research Scientist"/>
    <s v="Married"/>
    <s v="No"/>
    <s v="Y"/>
    <n v="6"/>
    <n v="-2"/>
    <n v="0"/>
    <n v="59"/>
    <n v="0"/>
    <m/>
    <n v="0"/>
    <n v="1"/>
    <n v="142"/>
    <n v="3"/>
    <s v="Bachelor's Degree"/>
    <n v="1"/>
    <n v="3"/>
    <n v="70"/>
    <n v="2"/>
    <n v="1"/>
    <x v="1"/>
    <n v="2177"/>
    <n v="8456"/>
    <n v="3"/>
    <n v="17"/>
    <n v="3"/>
    <n v="1"/>
    <n v="80"/>
    <n v="1"/>
    <n v="7"/>
    <n v="3"/>
    <n v="1"/>
    <n v="0"/>
    <n v="0"/>
    <n v="0"/>
  </r>
  <r>
    <s v="No"/>
    <s v="Travel_Frequently"/>
    <s v="35 - 44"/>
    <s v="Current Employees"/>
    <s v="Sales"/>
    <x v="3"/>
    <s v="STAFF-311"/>
    <n v="311"/>
    <x v="1"/>
    <s v="Sales Representative"/>
    <s v="Divorced"/>
    <s v="No"/>
    <s v="Y"/>
    <n v="2"/>
    <n v="-2"/>
    <n v="0"/>
    <n v="37"/>
    <n v="0"/>
    <m/>
    <n v="0"/>
    <n v="1"/>
    <n v="319"/>
    <n v="4"/>
    <s v="Master's Degree"/>
    <n v="1"/>
    <n v="1"/>
    <n v="41"/>
    <n v="3"/>
    <n v="1"/>
    <x v="3"/>
    <n v="2793"/>
    <n v="2539"/>
    <n v="4"/>
    <n v="17"/>
    <n v="3"/>
    <n v="3"/>
    <n v="80"/>
    <n v="1"/>
    <n v="13"/>
    <n v="3"/>
    <n v="9"/>
    <n v="8"/>
    <n v="5"/>
    <n v="8"/>
  </r>
  <r>
    <s v="No"/>
    <s v="Travel_Frequently"/>
    <s v="25 - 34"/>
    <s v="Current Employees"/>
    <s v="Sales"/>
    <x v="2"/>
    <s v="STAFF-312"/>
    <n v="312"/>
    <x v="0"/>
    <s v="Sales Executive"/>
    <s v="Married"/>
    <s v="No"/>
    <s v="Y"/>
    <n v="5"/>
    <n v="-2"/>
    <n v="0"/>
    <n v="29"/>
    <n v="0"/>
    <m/>
    <n v="0"/>
    <n v="1"/>
    <n v="1413"/>
    <n v="1"/>
    <s v="High School"/>
    <n v="1"/>
    <n v="2"/>
    <n v="42"/>
    <n v="3"/>
    <n v="3"/>
    <x v="0"/>
    <n v="7918"/>
    <n v="6599"/>
    <n v="1"/>
    <n v="14"/>
    <n v="3"/>
    <n v="4"/>
    <n v="80"/>
    <n v="1"/>
    <n v="11"/>
    <n v="3"/>
    <n v="11"/>
    <n v="10"/>
    <n v="4"/>
    <n v="1"/>
  </r>
  <r>
    <s v="No"/>
    <s v="Travel_Frequently"/>
    <s v="35 - 44"/>
    <s v="Current Employees"/>
    <s v="Sales"/>
    <x v="3"/>
    <s v="STAFF-314"/>
    <n v="314"/>
    <x v="0"/>
    <s v="Sales Executive"/>
    <s v="Single"/>
    <s v="No"/>
    <s v="Y"/>
    <n v="3"/>
    <n v="-2"/>
    <n v="0"/>
    <n v="35"/>
    <n v="0"/>
    <m/>
    <n v="0"/>
    <n v="1"/>
    <n v="944"/>
    <n v="1"/>
    <s v="Bachelor's Degree"/>
    <n v="1"/>
    <n v="3"/>
    <n v="92"/>
    <n v="3"/>
    <n v="3"/>
    <x v="3"/>
    <n v="8789"/>
    <n v="9096"/>
    <n v="1"/>
    <n v="14"/>
    <n v="3"/>
    <n v="1"/>
    <n v="80"/>
    <n v="0"/>
    <n v="10"/>
    <n v="4"/>
    <n v="10"/>
    <n v="7"/>
    <n v="0"/>
    <n v="8"/>
  </r>
  <r>
    <s v="Yes"/>
    <s v="Travel_Rarely"/>
    <s v="25 - 34"/>
    <s v="Ex-Employees"/>
    <s v="R&amp;D"/>
    <x v="2"/>
    <s v="STAFF-315"/>
    <n v="315"/>
    <x v="1"/>
    <s v="Research Scientist"/>
    <s v="Single"/>
    <s v="Yes"/>
    <s v="Y"/>
    <n v="3"/>
    <n v="-2"/>
    <n v="0"/>
    <n v="29"/>
    <n v="1"/>
    <n v="1"/>
    <n v="1"/>
    <n v="0"/>
    <n v="896"/>
    <n v="18"/>
    <s v="High School"/>
    <n v="1"/>
    <n v="3"/>
    <n v="86"/>
    <n v="2"/>
    <n v="1"/>
    <x v="0"/>
    <n v="2389"/>
    <n v="14961"/>
    <n v="1"/>
    <n v="13"/>
    <n v="3"/>
    <n v="3"/>
    <n v="80"/>
    <n v="0"/>
    <n v="4"/>
    <n v="2"/>
    <n v="4"/>
    <n v="3"/>
    <n v="0"/>
    <n v="1"/>
  </r>
  <r>
    <s v="No"/>
    <s v="Travel_Rarely"/>
    <s v="45 - 54"/>
    <s v="Current Employees"/>
    <s v="R&amp;D"/>
    <x v="0"/>
    <s v="STAFF-316"/>
    <n v="316"/>
    <x v="0"/>
    <s v="Laboratory Technician"/>
    <s v="Single"/>
    <s v="No"/>
    <s v="Y"/>
    <n v="3"/>
    <n v="-2"/>
    <n v="0"/>
    <n v="52"/>
    <n v="0"/>
    <m/>
    <n v="0"/>
    <n v="1"/>
    <n v="1323"/>
    <n v="2"/>
    <s v="Bachelor's Degree"/>
    <n v="1"/>
    <n v="3"/>
    <n v="89"/>
    <n v="2"/>
    <n v="1"/>
    <x v="1"/>
    <n v="3212"/>
    <n v="3300"/>
    <n v="7"/>
    <n v="15"/>
    <n v="3"/>
    <n v="2"/>
    <n v="80"/>
    <n v="0"/>
    <n v="6"/>
    <n v="2"/>
    <n v="2"/>
    <n v="2"/>
    <n v="2"/>
    <n v="2"/>
  </r>
  <r>
    <s v="No"/>
    <s v="Travel_Rarely"/>
    <s v="35 - 44"/>
    <s v="Current Employees"/>
    <s v="R&amp;D"/>
    <x v="4"/>
    <s v="STAFF-319"/>
    <n v="319"/>
    <x v="1"/>
    <s v="Manager"/>
    <s v="Married"/>
    <s v="No"/>
    <s v="Y"/>
    <n v="3"/>
    <n v="-2"/>
    <n v="0"/>
    <n v="42"/>
    <n v="0"/>
    <m/>
    <n v="0"/>
    <n v="1"/>
    <n v="532"/>
    <n v="4"/>
    <s v="Associates Degree"/>
    <n v="1"/>
    <n v="3"/>
    <n v="58"/>
    <n v="3"/>
    <n v="5"/>
    <x v="0"/>
    <n v="19232"/>
    <n v="4933"/>
    <n v="1"/>
    <n v="11"/>
    <n v="3"/>
    <n v="4"/>
    <n v="80"/>
    <n v="0"/>
    <n v="22"/>
    <n v="3"/>
    <n v="22"/>
    <n v="17"/>
    <n v="11"/>
    <n v="15"/>
  </r>
  <r>
    <s v="No"/>
    <s v="Travel_Rarely"/>
    <s v="Over 55"/>
    <s v="Current Employees"/>
    <s v="HR"/>
    <x v="2"/>
    <s v="STAFF-321"/>
    <n v="321"/>
    <x v="1"/>
    <s v="Human Resources"/>
    <s v="Married"/>
    <s v="No"/>
    <s v="Y"/>
    <n v="2"/>
    <n v="-2"/>
    <n v="0"/>
    <n v="59"/>
    <n v="0"/>
    <m/>
    <n v="0"/>
    <n v="1"/>
    <n v="818"/>
    <n v="6"/>
    <s v="Associates Degree"/>
    <n v="1"/>
    <n v="2"/>
    <n v="52"/>
    <n v="3"/>
    <n v="1"/>
    <x v="2"/>
    <n v="2267"/>
    <n v="25657"/>
    <n v="8"/>
    <n v="17"/>
    <n v="3"/>
    <n v="4"/>
    <n v="80"/>
    <n v="0"/>
    <n v="7"/>
    <n v="2"/>
    <n v="2"/>
    <n v="2"/>
    <n v="2"/>
    <n v="2"/>
  </r>
  <r>
    <s v="No"/>
    <s v="Travel_Rarely"/>
    <s v="45 - 54"/>
    <s v="Current Employees"/>
    <s v="Sales"/>
    <x v="2"/>
    <s v="STAFF-323"/>
    <n v="323"/>
    <x v="0"/>
    <s v="Manager"/>
    <s v="Divorced"/>
    <s v="No"/>
    <s v="Y"/>
    <n v="3"/>
    <n v="-2"/>
    <n v="0"/>
    <n v="50"/>
    <n v="0"/>
    <m/>
    <n v="0"/>
    <n v="1"/>
    <n v="854"/>
    <n v="1"/>
    <s v="Master's Degree"/>
    <n v="1"/>
    <n v="4"/>
    <n v="68"/>
    <n v="3"/>
    <n v="5"/>
    <x v="0"/>
    <n v="19517"/>
    <n v="24118"/>
    <n v="3"/>
    <n v="11"/>
    <n v="3"/>
    <n v="3"/>
    <n v="80"/>
    <n v="1"/>
    <n v="32"/>
    <n v="2"/>
    <n v="7"/>
    <n v="0"/>
    <n v="0"/>
    <n v="6"/>
  </r>
  <r>
    <s v="Yes"/>
    <s v="Travel_Rarely"/>
    <s v="25 - 34"/>
    <s v="Ex-Employees"/>
    <s v="R&amp;D"/>
    <x v="2"/>
    <s v="STAFF-325"/>
    <n v="325"/>
    <x v="1"/>
    <s v="Laboratory Technician"/>
    <s v="Married"/>
    <s v="Yes"/>
    <s v="Y"/>
    <n v="2"/>
    <n v="-2"/>
    <n v="0"/>
    <n v="33"/>
    <n v="1"/>
    <n v="1"/>
    <n v="1"/>
    <n v="0"/>
    <n v="813"/>
    <n v="14"/>
    <s v="Bachelor's Degree"/>
    <n v="1"/>
    <n v="3"/>
    <n v="58"/>
    <n v="3"/>
    <n v="1"/>
    <x v="0"/>
    <n v="2436"/>
    <n v="22149"/>
    <n v="5"/>
    <n v="13"/>
    <n v="3"/>
    <n v="3"/>
    <n v="80"/>
    <n v="1"/>
    <n v="8"/>
    <n v="1"/>
    <n v="5"/>
    <n v="4"/>
    <n v="0"/>
    <n v="4"/>
  </r>
  <r>
    <s v="No"/>
    <s v="Travel_Rarely"/>
    <s v="35 - 44"/>
    <s v="Current Employees"/>
    <s v="Sales"/>
    <x v="3"/>
    <s v="STAFF-327"/>
    <n v="327"/>
    <x v="0"/>
    <s v="Manager"/>
    <s v="Married"/>
    <s v="Yes"/>
    <s v="Y"/>
    <n v="3"/>
    <n v="-2"/>
    <n v="0"/>
    <n v="43"/>
    <n v="0"/>
    <m/>
    <n v="0"/>
    <n v="1"/>
    <n v="1034"/>
    <n v="16"/>
    <s v="Bachelor's Degree"/>
    <n v="1"/>
    <n v="4"/>
    <n v="80"/>
    <n v="3"/>
    <n v="4"/>
    <x v="3"/>
    <n v="16064"/>
    <n v="7744"/>
    <n v="5"/>
    <n v="22"/>
    <n v="4"/>
    <n v="3"/>
    <n v="80"/>
    <n v="1"/>
    <n v="22"/>
    <n v="3"/>
    <n v="17"/>
    <n v="13"/>
    <n v="1"/>
    <n v="9"/>
  </r>
  <r>
    <s v="Yes"/>
    <s v="Travel_Rarely"/>
    <s v="25 - 34"/>
    <s v="Ex-Employees"/>
    <s v="R&amp;D"/>
    <x v="0"/>
    <s v="STAFF-328"/>
    <n v="328"/>
    <x v="0"/>
    <s v="Laboratory Technician"/>
    <s v="Married"/>
    <s v="No"/>
    <s v="Y"/>
    <n v="3"/>
    <n v="-2"/>
    <n v="0"/>
    <n v="33"/>
    <n v="1"/>
    <n v="1"/>
    <n v="1"/>
    <n v="0"/>
    <n v="465"/>
    <n v="2"/>
    <s v="Associates Degree"/>
    <n v="1"/>
    <n v="1"/>
    <n v="39"/>
    <n v="3"/>
    <n v="1"/>
    <x v="1"/>
    <n v="2707"/>
    <n v="21509"/>
    <n v="7"/>
    <n v="20"/>
    <n v="4"/>
    <n v="1"/>
    <n v="80"/>
    <n v="0"/>
    <n v="13"/>
    <n v="4"/>
    <n v="9"/>
    <n v="7"/>
    <n v="1"/>
    <n v="7"/>
  </r>
  <r>
    <s v="No"/>
    <s v="Non-Travel"/>
    <s v="45 - 54"/>
    <s v="Current Employees"/>
    <s v="Sales"/>
    <x v="0"/>
    <s v="STAFF-329"/>
    <n v="329"/>
    <x v="1"/>
    <s v="Manager"/>
    <s v="Single"/>
    <s v="Yes"/>
    <s v="Y"/>
    <n v="2"/>
    <n v="-2"/>
    <n v="0"/>
    <n v="52"/>
    <n v="0"/>
    <m/>
    <n v="0"/>
    <n v="1"/>
    <n v="771"/>
    <n v="2"/>
    <s v="Master's Degree"/>
    <n v="1"/>
    <n v="1"/>
    <n v="79"/>
    <n v="2"/>
    <n v="5"/>
    <x v="1"/>
    <n v="19068"/>
    <n v="21030"/>
    <n v="1"/>
    <n v="18"/>
    <n v="3"/>
    <n v="4"/>
    <n v="80"/>
    <n v="0"/>
    <n v="33"/>
    <n v="4"/>
    <n v="33"/>
    <n v="7"/>
    <n v="15"/>
    <n v="12"/>
  </r>
  <r>
    <s v="No"/>
    <s v="Travel_Rarely"/>
    <s v="25 - 34"/>
    <s v="Current Employees"/>
    <s v="Sales"/>
    <x v="0"/>
    <s v="STAFF-330"/>
    <n v="330"/>
    <x v="0"/>
    <s v="Sales Representative"/>
    <s v="Married"/>
    <s v="No"/>
    <s v="Y"/>
    <n v="5"/>
    <n v="-2"/>
    <n v="0"/>
    <n v="32"/>
    <n v="0"/>
    <m/>
    <n v="0"/>
    <n v="1"/>
    <n v="1401"/>
    <n v="4"/>
    <s v="Associates Degree"/>
    <n v="1"/>
    <n v="3"/>
    <n v="56"/>
    <n v="3"/>
    <n v="1"/>
    <x v="1"/>
    <n v="3931"/>
    <n v="20990"/>
    <n v="2"/>
    <n v="11"/>
    <n v="3"/>
    <n v="1"/>
    <n v="80"/>
    <n v="1"/>
    <n v="6"/>
    <n v="3"/>
    <n v="4"/>
    <n v="3"/>
    <n v="1"/>
    <n v="2"/>
  </r>
  <r>
    <s v="Yes"/>
    <s v="Travel_Rarely"/>
    <s v="25 - 34"/>
    <s v="Ex-Employees"/>
    <s v="R&amp;D"/>
    <x v="0"/>
    <s v="STAFF-331"/>
    <n v="331"/>
    <x v="1"/>
    <s v="Laboratory Technician"/>
    <s v="Single"/>
    <s v="Yes"/>
    <s v="Y"/>
    <n v="2"/>
    <n v="-2"/>
    <n v="0"/>
    <n v="32"/>
    <n v="1"/>
    <n v="1"/>
    <n v="1"/>
    <n v="0"/>
    <n v="515"/>
    <n v="1"/>
    <s v="Bachelor's Degree"/>
    <n v="1"/>
    <n v="4"/>
    <n v="62"/>
    <n v="2"/>
    <n v="1"/>
    <x v="1"/>
    <n v="3730"/>
    <n v="9571"/>
    <n v="0"/>
    <n v="14"/>
    <n v="3"/>
    <n v="4"/>
    <n v="80"/>
    <n v="0"/>
    <n v="4"/>
    <n v="1"/>
    <n v="3"/>
    <n v="2"/>
    <n v="1"/>
    <n v="2"/>
  </r>
  <r>
    <s v="No"/>
    <s v="Travel_Rarely"/>
    <s v="35 - 44"/>
    <s v="Current Employees"/>
    <s v="R&amp;D"/>
    <x v="2"/>
    <s v="STAFF-332"/>
    <n v="332"/>
    <x v="0"/>
    <s v="Laboratory Technician"/>
    <s v="Divorced"/>
    <s v="No"/>
    <s v="Y"/>
    <n v="1"/>
    <n v="-2"/>
    <n v="0"/>
    <n v="39"/>
    <n v="0"/>
    <m/>
    <n v="0"/>
    <n v="1"/>
    <n v="1431"/>
    <n v="1"/>
    <s v="Master's Degree"/>
    <n v="1"/>
    <n v="3"/>
    <n v="96"/>
    <n v="3"/>
    <n v="1"/>
    <x v="2"/>
    <n v="2232"/>
    <n v="15417"/>
    <n v="7"/>
    <n v="14"/>
    <n v="3"/>
    <n v="3"/>
    <n v="80"/>
    <n v="3"/>
    <n v="7"/>
    <n v="3"/>
    <n v="3"/>
    <n v="2"/>
    <n v="1"/>
    <n v="2"/>
  </r>
  <r>
    <s v="No"/>
    <s v="Non-Travel"/>
    <s v="25 - 34"/>
    <s v="Current Employees"/>
    <s v="Sales"/>
    <x v="3"/>
    <s v="STAFF-333"/>
    <n v="333"/>
    <x v="1"/>
    <s v="Sales Executive"/>
    <s v="Married"/>
    <s v="No"/>
    <s v="Y"/>
    <n v="2"/>
    <n v="-2"/>
    <n v="0"/>
    <n v="32"/>
    <n v="0"/>
    <m/>
    <n v="0"/>
    <n v="1"/>
    <n v="976"/>
    <n v="26"/>
    <s v="Master's Degree"/>
    <n v="1"/>
    <n v="3"/>
    <n v="100"/>
    <n v="3"/>
    <n v="2"/>
    <x v="3"/>
    <n v="4465"/>
    <n v="12069"/>
    <n v="0"/>
    <n v="18"/>
    <n v="3"/>
    <n v="1"/>
    <n v="80"/>
    <n v="0"/>
    <n v="4"/>
    <n v="3"/>
    <n v="3"/>
    <n v="2"/>
    <n v="2"/>
    <n v="2"/>
  </r>
  <r>
    <s v="No"/>
    <s v="Travel_Rarely"/>
    <s v="35 - 44"/>
    <s v="Current Employees"/>
    <s v="R&amp;D"/>
    <x v="0"/>
    <s v="STAFF-334"/>
    <n v="334"/>
    <x v="1"/>
    <s v="Research Scientist"/>
    <s v="Divorced"/>
    <s v="No"/>
    <s v="Y"/>
    <n v="2"/>
    <n v="-2"/>
    <n v="0"/>
    <n v="41"/>
    <n v="0"/>
    <m/>
    <n v="0"/>
    <n v="1"/>
    <n v="1411"/>
    <n v="19"/>
    <s v="Associates Degree"/>
    <n v="1"/>
    <n v="3"/>
    <n v="36"/>
    <n v="3"/>
    <n v="2"/>
    <x v="1"/>
    <n v="3072"/>
    <n v="19877"/>
    <n v="2"/>
    <n v="16"/>
    <n v="3"/>
    <n v="1"/>
    <n v="80"/>
    <n v="2"/>
    <n v="17"/>
    <n v="2"/>
    <n v="1"/>
    <n v="0"/>
    <n v="0"/>
    <n v="0"/>
  </r>
  <r>
    <s v="No"/>
    <s v="Travel_Rarely"/>
    <s v="35 - 44"/>
    <s v="Current Employees"/>
    <s v="R&amp;D"/>
    <x v="4"/>
    <s v="STAFF-335"/>
    <n v="335"/>
    <x v="1"/>
    <s v="Research Scientist"/>
    <s v="Divorced"/>
    <s v="No"/>
    <s v="Y"/>
    <n v="3"/>
    <n v="-2"/>
    <n v="0"/>
    <n v="40"/>
    <n v="0"/>
    <m/>
    <n v="0"/>
    <n v="1"/>
    <n v="1300"/>
    <n v="24"/>
    <s v="Associates Degree"/>
    <n v="1"/>
    <n v="4"/>
    <n v="62"/>
    <n v="3"/>
    <n v="2"/>
    <x v="0"/>
    <n v="3319"/>
    <n v="24447"/>
    <n v="1"/>
    <n v="17"/>
    <n v="3"/>
    <n v="1"/>
    <n v="80"/>
    <n v="2"/>
    <n v="9"/>
    <n v="3"/>
    <n v="9"/>
    <n v="8"/>
    <n v="4"/>
    <n v="7"/>
  </r>
  <r>
    <s v="No"/>
    <s v="Travel_Rarely"/>
    <s v="45 - 54"/>
    <s v="Current Employees"/>
    <s v="R&amp;D"/>
    <x v="1"/>
    <s v="STAFF-336"/>
    <n v="336"/>
    <x v="1"/>
    <s v="Manager"/>
    <s v="Married"/>
    <s v="No"/>
    <s v="Y"/>
    <n v="2"/>
    <n v="-2"/>
    <n v="0"/>
    <n v="45"/>
    <n v="0"/>
    <m/>
    <n v="0"/>
    <n v="1"/>
    <n v="252"/>
    <n v="1"/>
    <s v="Bachelor's Degree"/>
    <n v="1"/>
    <n v="3"/>
    <n v="70"/>
    <n v="4"/>
    <n v="5"/>
    <x v="0"/>
    <n v="19202"/>
    <n v="15970"/>
    <n v="0"/>
    <n v="11"/>
    <n v="3"/>
    <n v="3"/>
    <n v="80"/>
    <n v="1"/>
    <n v="25"/>
    <n v="3"/>
    <n v="24"/>
    <n v="0"/>
    <n v="1"/>
    <n v="7"/>
  </r>
  <r>
    <s v="No"/>
    <s v="Travel_Frequently"/>
    <s v="25 - 34"/>
    <s v="Current Employees"/>
    <s v="R&amp;D"/>
    <x v="2"/>
    <s v="STAFF-337"/>
    <n v="337"/>
    <x v="1"/>
    <s v="Research Director"/>
    <s v="Divorced"/>
    <s v="No"/>
    <s v="Y"/>
    <n v="3"/>
    <n v="-2"/>
    <n v="0"/>
    <n v="31"/>
    <n v="0"/>
    <m/>
    <n v="0"/>
    <n v="1"/>
    <n v="1327"/>
    <n v="3"/>
    <s v="Master's Degree"/>
    <n v="1"/>
    <n v="2"/>
    <n v="73"/>
    <n v="3"/>
    <n v="3"/>
    <x v="2"/>
    <n v="13675"/>
    <n v="13523"/>
    <n v="9"/>
    <n v="12"/>
    <n v="3"/>
    <n v="1"/>
    <n v="80"/>
    <n v="1"/>
    <n v="9"/>
    <n v="3"/>
    <n v="2"/>
    <n v="2"/>
    <n v="2"/>
    <n v="2"/>
  </r>
  <r>
    <s v="No"/>
    <s v="Travel_Rarely"/>
    <s v="25 - 34"/>
    <s v="Current Employees"/>
    <s v="R&amp;D"/>
    <x v="0"/>
    <s v="STAFF-338"/>
    <n v="338"/>
    <x v="0"/>
    <s v="Research Scientist"/>
    <s v="Married"/>
    <s v="No"/>
    <s v="Y"/>
    <n v="2"/>
    <n v="-2"/>
    <n v="0"/>
    <n v="33"/>
    <n v="0"/>
    <m/>
    <n v="0"/>
    <n v="1"/>
    <n v="832"/>
    <n v="5"/>
    <s v="Master's Degree"/>
    <n v="1"/>
    <n v="3"/>
    <n v="63"/>
    <n v="2"/>
    <n v="1"/>
    <x v="1"/>
    <n v="2911"/>
    <n v="14776"/>
    <n v="1"/>
    <n v="13"/>
    <n v="3"/>
    <n v="3"/>
    <n v="80"/>
    <n v="1"/>
    <n v="2"/>
    <n v="2"/>
    <n v="2"/>
    <n v="2"/>
    <n v="0"/>
    <n v="2"/>
  </r>
  <r>
    <s v="No"/>
    <s v="Travel_Rarely"/>
    <s v="25 - 34"/>
    <s v="Current Employees"/>
    <s v="R&amp;D"/>
    <x v="0"/>
    <s v="STAFF-339"/>
    <n v="339"/>
    <x v="1"/>
    <s v="Manufacturing Director"/>
    <s v="Married"/>
    <s v="No"/>
    <s v="Y"/>
    <n v="3"/>
    <n v="-2"/>
    <n v="0"/>
    <n v="34"/>
    <n v="0"/>
    <m/>
    <n v="0"/>
    <n v="1"/>
    <n v="470"/>
    <n v="2"/>
    <s v="Master's Degree"/>
    <n v="1"/>
    <n v="4"/>
    <n v="84"/>
    <n v="2"/>
    <n v="2"/>
    <x v="1"/>
    <n v="5957"/>
    <n v="23687"/>
    <n v="6"/>
    <n v="13"/>
    <n v="3"/>
    <n v="2"/>
    <n v="80"/>
    <n v="1"/>
    <n v="13"/>
    <n v="3"/>
    <n v="11"/>
    <n v="9"/>
    <n v="5"/>
    <n v="9"/>
  </r>
  <r>
    <s v="No"/>
    <s v="Travel_Rarely"/>
    <s v="35 - 44"/>
    <s v="Current Employees"/>
    <s v="R&amp;D"/>
    <x v="2"/>
    <s v="STAFF-340"/>
    <n v="340"/>
    <x v="0"/>
    <s v="Research Scientist"/>
    <s v="Married"/>
    <s v="No"/>
    <s v="Y"/>
    <n v="2"/>
    <n v="-2"/>
    <n v="0"/>
    <n v="37"/>
    <n v="0"/>
    <m/>
    <n v="0"/>
    <n v="1"/>
    <n v="1017"/>
    <n v="1"/>
    <s v="Associates Degree"/>
    <n v="1"/>
    <n v="3"/>
    <n v="83"/>
    <n v="2"/>
    <n v="1"/>
    <x v="2"/>
    <n v="3920"/>
    <n v="18697"/>
    <n v="2"/>
    <n v="14"/>
    <n v="3"/>
    <n v="1"/>
    <n v="80"/>
    <n v="1"/>
    <n v="17"/>
    <n v="2"/>
    <n v="3"/>
    <n v="1"/>
    <n v="0"/>
    <n v="2"/>
  </r>
  <r>
    <s v="No"/>
    <s v="Travel_Frequently"/>
    <s v="45 - 54"/>
    <s v="Current Employees"/>
    <s v="R&amp;D"/>
    <x v="0"/>
    <s v="STAFF-341"/>
    <n v="341"/>
    <x v="1"/>
    <s v="Manufacturing Director"/>
    <s v="Married"/>
    <s v="No"/>
    <s v="Y"/>
    <n v="1"/>
    <n v="-2"/>
    <n v="0"/>
    <n v="45"/>
    <n v="0"/>
    <m/>
    <n v="0"/>
    <n v="1"/>
    <n v="1199"/>
    <n v="7"/>
    <s v="Master's Degree"/>
    <n v="1"/>
    <n v="1"/>
    <n v="77"/>
    <n v="4"/>
    <n v="2"/>
    <x v="1"/>
    <n v="6434"/>
    <n v="5118"/>
    <n v="4"/>
    <n v="17"/>
    <n v="3"/>
    <n v="4"/>
    <n v="80"/>
    <n v="1"/>
    <n v="9"/>
    <n v="3"/>
    <n v="3"/>
    <n v="2"/>
    <n v="0"/>
    <n v="2"/>
  </r>
  <r>
    <s v="Yes"/>
    <s v="Travel_Frequently"/>
    <s v="35 - 44"/>
    <s v="Ex-Employees"/>
    <s v="R&amp;D"/>
    <x v="2"/>
    <s v="STAFF-342"/>
    <n v="342"/>
    <x v="1"/>
    <s v="Manufacturing Director"/>
    <s v="Divorced"/>
    <s v="No"/>
    <s v="Y"/>
    <n v="5"/>
    <n v="-2"/>
    <n v="0"/>
    <n v="37"/>
    <n v="1"/>
    <n v="1"/>
    <n v="1"/>
    <n v="0"/>
    <n v="504"/>
    <n v="10"/>
    <s v="Bachelor's Degree"/>
    <n v="1"/>
    <n v="1"/>
    <n v="61"/>
    <n v="3"/>
    <n v="3"/>
    <x v="2"/>
    <n v="10048"/>
    <n v="22573"/>
    <n v="6"/>
    <n v="11"/>
    <n v="3"/>
    <n v="2"/>
    <n v="80"/>
    <n v="2"/>
    <n v="17"/>
    <n v="3"/>
    <n v="1"/>
    <n v="0"/>
    <n v="0"/>
    <n v="0"/>
  </r>
  <r>
    <s v="No"/>
    <s v="Travel_Frequently"/>
    <s v="35 - 44"/>
    <s v="Current Employees"/>
    <s v="R&amp;D"/>
    <x v="4"/>
    <s v="STAFF-343"/>
    <n v="343"/>
    <x v="0"/>
    <s v="Healthcare Representative"/>
    <s v="Single"/>
    <s v="No"/>
    <s v="Y"/>
    <n v="1"/>
    <n v="-2"/>
    <n v="0"/>
    <n v="39"/>
    <n v="0"/>
    <m/>
    <n v="0"/>
    <n v="1"/>
    <n v="505"/>
    <n v="2"/>
    <s v="Master's Degree"/>
    <n v="1"/>
    <n v="4"/>
    <n v="64"/>
    <n v="3"/>
    <n v="3"/>
    <x v="0"/>
    <n v="10938"/>
    <n v="6420"/>
    <n v="0"/>
    <n v="25"/>
    <n v="4"/>
    <n v="4"/>
    <n v="80"/>
    <n v="0"/>
    <n v="20"/>
    <n v="3"/>
    <n v="19"/>
    <n v="6"/>
    <n v="11"/>
    <n v="8"/>
  </r>
  <r>
    <s v="No"/>
    <s v="Travel_Rarely"/>
    <s v="25 - 34"/>
    <s v="Current Employees"/>
    <s v="R&amp;D"/>
    <x v="0"/>
    <s v="STAFF-346"/>
    <n v="346"/>
    <x v="1"/>
    <s v="Research Scientist"/>
    <s v="Single"/>
    <s v="No"/>
    <s v="Y"/>
    <n v="1"/>
    <n v="-2"/>
    <n v="0"/>
    <n v="29"/>
    <n v="0"/>
    <m/>
    <n v="0"/>
    <n v="1"/>
    <n v="665"/>
    <n v="15"/>
    <s v="Bachelor's Degree"/>
    <n v="1"/>
    <n v="3"/>
    <n v="60"/>
    <n v="3"/>
    <n v="1"/>
    <x v="1"/>
    <n v="2340"/>
    <n v="22673"/>
    <n v="1"/>
    <n v="19"/>
    <n v="3"/>
    <n v="1"/>
    <n v="80"/>
    <n v="0"/>
    <n v="6"/>
    <n v="3"/>
    <n v="6"/>
    <n v="5"/>
    <n v="1"/>
    <n v="5"/>
  </r>
  <r>
    <s v="No"/>
    <s v="Travel_Rarely"/>
    <s v="35 - 44"/>
    <s v="Current Employees"/>
    <s v="R&amp;D"/>
    <x v="0"/>
    <s v="STAFF-347"/>
    <n v="347"/>
    <x v="0"/>
    <s v="Research Scientist"/>
    <s v="Single"/>
    <s v="Yes"/>
    <s v="Y"/>
    <n v="1"/>
    <n v="-2"/>
    <n v="0"/>
    <n v="42"/>
    <n v="0"/>
    <m/>
    <n v="0"/>
    <n v="1"/>
    <n v="916"/>
    <n v="17"/>
    <s v="Associates Degree"/>
    <n v="1"/>
    <n v="4"/>
    <n v="82"/>
    <n v="4"/>
    <n v="2"/>
    <x v="1"/>
    <n v="6545"/>
    <n v="23016"/>
    <n v="3"/>
    <n v="13"/>
    <n v="3"/>
    <n v="3"/>
    <n v="80"/>
    <n v="0"/>
    <n v="10"/>
    <n v="3"/>
    <n v="3"/>
    <n v="2"/>
    <n v="0"/>
    <n v="2"/>
  </r>
  <r>
    <s v="No"/>
    <s v="Travel_Rarely"/>
    <s v="25 - 34"/>
    <s v="Current Employees"/>
    <s v="Sales"/>
    <x v="3"/>
    <s v="STAFF-349"/>
    <n v="349"/>
    <x v="1"/>
    <s v="Sales Executive"/>
    <s v="Divorced"/>
    <s v="No"/>
    <s v="Y"/>
    <n v="2"/>
    <n v="-2"/>
    <n v="0"/>
    <n v="29"/>
    <n v="0"/>
    <m/>
    <n v="0"/>
    <n v="1"/>
    <n v="1247"/>
    <n v="20"/>
    <s v="Associates Degree"/>
    <n v="1"/>
    <n v="4"/>
    <n v="45"/>
    <n v="3"/>
    <n v="2"/>
    <x v="3"/>
    <n v="6931"/>
    <n v="10732"/>
    <n v="2"/>
    <n v="14"/>
    <n v="3"/>
    <n v="4"/>
    <n v="80"/>
    <n v="1"/>
    <n v="10"/>
    <n v="3"/>
    <n v="3"/>
    <n v="2"/>
    <n v="0"/>
    <n v="2"/>
  </r>
  <r>
    <s v="No"/>
    <s v="Travel_Rarely"/>
    <s v="25 - 34"/>
    <s v="Current Employees"/>
    <s v="R&amp;D"/>
    <x v="0"/>
    <s v="STAFF-350"/>
    <n v="350"/>
    <x v="0"/>
    <s v="Manufacturing Director"/>
    <s v="Married"/>
    <s v="No"/>
    <s v="Y"/>
    <n v="3"/>
    <n v="-2"/>
    <n v="0"/>
    <n v="25"/>
    <n v="0"/>
    <m/>
    <n v="0"/>
    <n v="1"/>
    <n v="685"/>
    <n v="1"/>
    <s v="Bachelor's Degree"/>
    <n v="1"/>
    <n v="1"/>
    <n v="62"/>
    <n v="3"/>
    <n v="2"/>
    <x v="1"/>
    <n v="4898"/>
    <n v="7505"/>
    <n v="0"/>
    <n v="12"/>
    <n v="3"/>
    <n v="4"/>
    <n v="80"/>
    <n v="2"/>
    <n v="5"/>
    <n v="3"/>
    <n v="4"/>
    <n v="2"/>
    <n v="1"/>
    <n v="2"/>
  </r>
  <r>
    <s v="No"/>
    <s v="Travel_Rarely"/>
    <s v="35 - 44"/>
    <s v="Current Employees"/>
    <s v="R&amp;D"/>
    <x v="2"/>
    <s v="STAFF-351"/>
    <n v="351"/>
    <x v="0"/>
    <s v="Laboratory Technician"/>
    <s v="Divorced"/>
    <s v="Yes"/>
    <s v="Y"/>
    <n v="4"/>
    <n v="-2"/>
    <n v="0"/>
    <n v="42"/>
    <n v="0"/>
    <m/>
    <n v="0"/>
    <n v="1"/>
    <n v="269"/>
    <n v="2"/>
    <s v="Bachelor's Degree"/>
    <n v="1"/>
    <n v="4"/>
    <n v="56"/>
    <n v="2"/>
    <n v="1"/>
    <x v="2"/>
    <n v="2593"/>
    <n v="8007"/>
    <n v="0"/>
    <n v="11"/>
    <n v="3"/>
    <n v="3"/>
    <n v="80"/>
    <n v="1"/>
    <n v="10"/>
    <n v="3"/>
    <n v="9"/>
    <n v="6"/>
    <n v="7"/>
    <n v="8"/>
  </r>
  <r>
    <s v="No"/>
    <s v="Travel_Rarely"/>
    <s v="35 - 44"/>
    <s v="Current Employees"/>
    <s v="R&amp;D"/>
    <x v="2"/>
    <s v="STAFF-352"/>
    <n v="352"/>
    <x v="1"/>
    <s v="Research Director"/>
    <s v="Divorced"/>
    <s v="No"/>
    <s v="Y"/>
    <n v="5"/>
    <n v="-2"/>
    <n v="0"/>
    <n v="40"/>
    <n v="0"/>
    <m/>
    <n v="0"/>
    <n v="1"/>
    <n v="1416"/>
    <n v="2"/>
    <s v="Associates Degree"/>
    <n v="1"/>
    <n v="1"/>
    <n v="49"/>
    <n v="3"/>
    <n v="5"/>
    <x v="2"/>
    <n v="19436"/>
    <n v="5949"/>
    <n v="0"/>
    <n v="19"/>
    <n v="3"/>
    <n v="4"/>
    <n v="80"/>
    <n v="1"/>
    <n v="22"/>
    <n v="3"/>
    <n v="21"/>
    <n v="7"/>
    <n v="3"/>
    <n v="9"/>
  </r>
  <r>
    <s v="No"/>
    <s v="Travel_Rarely"/>
    <s v="45 - 54"/>
    <s v="Current Employees"/>
    <s v="R&amp;D"/>
    <x v="0"/>
    <s v="STAFF-353"/>
    <n v="353"/>
    <x v="1"/>
    <s v="Research Scientist"/>
    <s v="Married"/>
    <s v="No"/>
    <s v="Y"/>
    <n v="0"/>
    <n v="-2"/>
    <n v="0"/>
    <n v="51"/>
    <n v="0"/>
    <m/>
    <n v="0"/>
    <n v="1"/>
    <n v="833"/>
    <n v="1"/>
    <s v="Bachelor's Degree"/>
    <n v="1"/>
    <n v="3"/>
    <n v="96"/>
    <n v="3"/>
    <n v="1"/>
    <x v="1"/>
    <n v="2723"/>
    <n v="23231"/>
    <n v="1"/>
    <n v="11"/>
    <n v="3"/>
    <n v="2"/>
    <n v="80"/>
    <n v="0"/>
    <n v="1"/>
    <n v="2"/>
    <n v="1"/>
    <n v="0"/>
    <n v="0"/>
    <n v="0"/>
  </r>
  <r>
    <s v="Yes"/>
    <s v="Travel_Frequently"/>
    <s v="25 - 34"/>
    <s v="Ex-Employees"/>
    <s v="R&amp;D"/>
    <x v="2"/>
    <s v="STAFF-355"/>
    <n v="355"/>
    <x v="1"/>
    <s v="Laboratory Technician"/>
    <s v="Single"/>
    <s v="No"/>
    <s v="Y"/>
    <n v="2"/>
    <n v="-2"/>
    <n v="0"/>
    <n v="31"/>
    <n v="1"/>
    <n v="1"/>
    <n v="1"/>
    <n v="0"/>
    <n v="307"/>
    <n v="29"/>
    <s v="Associates Degree"/>
    <n v="1"/>
    <n v="3"/>
    <n v="71"/>
    <n v="2"/>
    <n v="1"/>
    <x v="2"/>
    <n v="3479"/>
    <n v="11652"/>
    <n v="0"/>
    <n v="11"/>
    <n v="3"/>
    <n v="2"/>
    <n v="80"/>
    <n v="0"/>
    <n v="6"/>
    <n v="4"/>
    <n v="5"/>
    <n v="4"/>
    <n v="1"/>
    <n v="4"/>
  </r>
  <r>
    <s v="No"/>
    <s v="Travel_Frequently"/>
    <s v="25 - 34"/>
    <s v="Current Employees"/>
    <s v="R&amp;D"/>
    <x v="0"/>
    <s v="STAFF-359"/>
    <n v="359"/>
    <x v="1"/>
    <s v="Laboratory Technician"/>
    <s v="Married"/>
    <s v="No"/>
    <s v="Y"/>
    <n v="3"/>
    <n v="-2"/>
    <n v="0"/>
    <n v="32"/>
    <n v="0"/>
    <m/>
    <n v="0"/>
    <n v="1"/>
    <n v="1311"/>
    <n v="7"/>
    <s v="Bachelor's Degree"/>
    <n v="1"/>
    <n v="2"/>
    <n v="100"/>
    <n v="4"/>
    <n v="1"/>
    <x v="1"/>
    <n v="2794"/>
    <n v="26062"/>
    <n v="1"/>
    <n v="20"/>
    <n v="4"/>
    <n v="3"/>
    <n v="80"/>
    <n v="0"/>
    <n v="5"/>
    <n v="1"/>
    <n v="5"/>
    <n v="1"/>
    <n v="0"/>
    <n v="3"/>
  </r>
  <r>
    <s v="No"/>
    <s v="Non-Travel"/>
    <s v="35 - 44"/>
    <s v="Current Employees"/>
    <s v="Sales"/>
    <x v="0"/>
    <s v="STAFF-361"/>
    <n v="361"/>
    <x v="1"/>
    <s v="Sales Executive"/>
    <s v="Married"/>
    <s v="No"/>
    <s v="Y"/>
    <n v="0"/>
    <n v="-2"/>
    <n v="0"/>
    <n v="38"/>
    <n v="0"/>
    <m/>
    <n v="0"/>
    <n v="1"/>
    <n v="1327"/>
    <n v="2"/>
    <s v="Associates Degree"/>
    <n v="1"/>
    <n v="4"/>
    <n v="39"/>
    <n v="2"/>
    <n v="2"/>
    <x v="1"/>
    <n v="5249"/>
    <n v="19682"/>
    <n v="3"/>
    <n v="18"/>
    <n v="3"/>
    <n v="4"/>
    <n v="80"/>
    <n v="1"/>
    <n v="13"/>
    <n v="3"/>
    <n v="8"/>
    <n v="7"/>
    <n v="7"/>
    <n v="5"/>
  </r>
  <r>
    <s v="No"/>
    <s v="Travel_Rarely"/>
    <s v="25 - 34"/>
    <s v="Current Employees"/>
    <s v="R&amp;D"/>
    <x v="4"/>
    <s v="STAFF-362"/>
    <n v="362"/>
    <x v="1"/>
    <s v="Laboratory Technician"/>
    <s v="Single"/>
    <s v="No"/>
    <s v="Y"/>
    <n v="5"/>
    <n v="-2"/>
    <n v="0"/>
    <n v="32"/>
    <n v="0"/>
    <m/>
    <n v="0"/>
    <n v="1"/>
    <n v="128"/>
    <n v="2"/>
    <s v="High School"/>
    <n v="1"/>
    <n v="4"/>
    <n v="84"/>
    <n v="2"/>
    <n v="2"/>
    <x v="0"/>
    <n v="2176"/>
    <n v="19737"/>
    <n v="4"/>
    <n v="13"/>
    <n v="3"/>
    <n v="4"/>
    <n v="80"/>
    <n v="0"/>
    <n v="9"/>
    <n v="3"/>
    <n v="6"/>
    <n v="2"/>
    <n v="0"/>
    <n v="4"/>
  </r>
  <r>
    <s v="No"/>
    <s v="Travel_Rarely"/>
    <s v="45 - 54"/>
    <s v="Current Employees"/>
    <s v="Sales"/>
    <x v="4"/>
    <s v="STAFF-363"/>
    <n v="363"/>
    <x v="0"/>
    <s v="Manager"/>
    <s v="Married"/>
    <s v="Yes"/>
    <s v="Y"/>
    <n v="2"/>
    <n v="-2"/>
    <n v="0"/>
    <n v="46"/>
    <n v="0"/>
    <m/>
    <n v="0"/>
    <n v="1"/>
    <n v="488"/>
    <n v="2"/>
    <s v="Bachelor's Degree"/>
    <n v="1"/>
    <n v="4"/>
    <n v="75"/>
    <n v="1"/>
    <n v="4"/>
    <x v="0"/>
    <n v="16872"/>
    <n v="14977"/>
    <n v="3"/>
    <n v="12"/>
    <n v="3"/>
    <n v="2"/>
    <n v="80"/>
    <n v="1"/>
    <n v="28"/>
    <n v="2"/>
    <n v="7"/>
    <n v="7"/>
    <n v="7"/>
    <n v="7"/>
  </r>
  <r>
    <s v="Yes"/>
    <s v="Travel_Rarely"/>
    <s v="25 - 34"/>
    <s v="Ex-Employees"/>
    <s v="R&amp;D"/>
    <x v="0"/>
    <s v="STAFF-364"/>
    <n v="364"/>
    <x v="1"/>
    <s v="Laboratory Technician"/>
    <s v="Single"/>
    <s v="No"/>
    <s v="Y"/>
    <n v="5"/>
    <n v="-2"/>
    <n v="0"/>
    <n v="28"/>
    <n v="1"/>
    <n v="1"/>
    <n v="1"/>
    <n v="0"/>
    <n v="529"/>
    <n v="2"/>
    <s v="Master's Degree"/>
    <n v="1"/>
    <n v="1"/>
    <n v="79"/>
    <n v="3"/>
    <n v="1"/>
    <x v="1"/>
    <n v="3485"/>
    <n v="14935"/>
    <n v="2"/>
    <n v="11"/>
    <n v="3"/>
    <n v="3"/>
    <n v="80"/>
    <n v="0"/>
    <n v="5"/>
    <n v="1"/>
    <n v="0"/>
    <n v="0"/>
    <n v="0"/>
    <n v="0"/>
  </r>
  <r>
    <s v="No"/>
    <s v="Travel_Rarely"/>
    <s v="25 - 34"/>
    <s v="Current Employees"/>
    <s v="Sales"/>
    <x v="2"/>
    <s v="STAFF-366"/>
    <n v="366"/>
    <x v="1"/>
    <s v="Sales Executive"/>
    <s v="Married"/>
    <s v="No"/>
    <s v="Y"/>
    <n v="2"/>
    <n v="-2"/>
    <n v="0"/>
    <n v="29"/>
    <n v="0"/>
    <m/>
    <n v="0"/>
    <n v="1"/>
    <n v="1210"/>
    <n v="2"/>
    <s v="Bachelor's Degree"/>
    <n v="1"/>
    <n v="1"/>
    <n v="78"/>
    <n v="2"/>
    <n v="2"/>
    <x v="2"/>
    <n v="6644"/>
    <n v="3687"/>
    <n v="2"/>
    <n v="19"/>
    <n v="3"/>
    <n v="2"/>
    <n v="80"/>
    <n v="2"/>
    <n v="10"/>
    <n v="3"/>
    <n v="0"/>
    <n v="0"/>
    <n v="0"/>
    <n v="0"/>
  </r>
  <r>
    <s v="No"/>
    <s v="Travel_Rarely"/>
    <s v="25 - 34"/>
    <s v="Current Employees"/>
    <s v="R&amp;D"/>
    <x v="2"/>
    <s v="STAFF-367"/>
    <n v="367"/>
    <x v="1"/>
    <s v="Healthcare Representative"/>
    <s v="Married"/>
    <s v="No"/>
    <s v="Y"/>
    <n v="2"/>
    <n v="-2"/>
    <n v="0"/>
    <n v="31"/>
    <n v="0"/>
    <m/>
    <n v="0"/>
    <n v="1"/>
    <n v="1463"/>
    <n v="23"/>
    <s v="Bachelor's Degree"/>
    <n v="1"/>
    <n v="2"/>
    <n v="64"/>
    <n v="2"/>
    <n v="2"/>
    <x v="0"/>
    <n v="5582"/>
    <n v="14408"/>
    <n v="0"/>
    <n v="21"/>
    <n v="4"/>
    <n v="2"/>
    <n v="80"/>
    <n v="1"/>
    <n v="10"/>
    <n v="3"/>
    <n v="9"/>
    <n v="0"/>
    <n v="7"/>
    <n v="8"/>
  </r>
  <r>
    <s v="No"/>
    <s v="Non-Travel"/>
    <s v="25 - 34"/>
    <s v="Current Employees"/>
    <s v="R&amp;D"/>
    <x v="0"/>
    <s v="STAFF-369"/>
    <n v="369"/>
    <x v="1"/>
    <s v="Healthcare Representative"/>
    <s v="Divorced"/>
    <s v="No"/>
    <s v="Y"/>
    <n v="2"/>
    <n v="-2"/>
    <n v="0"/>
    <n v="25"/>
    <n v="0"/>
    <m/>
    <n v="0"/>
    <n v="1"/>
    <n v="675"/>
    <n v="5"/>
    <s v="Associates Degree"/>
    <n v="1"/>
    <n v="2"/>
    <n v="85"/>
    <n v="4"/>
    <n v="2"/>
    <x v="1"/>
    <n v="4000"/>
    <n v="18384"/>
    <n v="1"/>
    <n v="12"/>
    <n v="3"/>
    <n v="4"/>
    <n v="80"/>
    <n v="2"/>
    <n v="6"/>
    <n v="3"/>
    <n v="6"/>
    <n v="3"/>
    <n v="1"/>
    <n v="5"/>
  </r>
  <r>
    <s v="No"/>
    <s v="Travel_Rarely"/>
    <s v="45 - 54"/>
    <s v="Current Employees"/>
    <s v="R&amp;D"/>
    <x v="2"/>
    <s v="STAFF-372"/>
    <n v="372"/>
    <x v="1"/>
    <s v="Healthcare Representative"/>
    <s v="Married"/>
    <s v="Yes"/>
    <s v="Y"/>
    <n v="2"/>
    <n v="-2"/>
    <n v="0"/>
    <n v="45"/>
    <n v="0"/>
    <m/>
    <n v="0"/>
    <n v="1"/>
    <n v="1385"/>
    <n v="20"/>
    <s v="Associates Degree"/>
    <n v="1"/>
    <n v="3"/>
    <n v="79"/>
    <n v="3"/>
    <n v="4"/>
    <x v="0"/>
    <n v="13496"/>
    <n v="7501"/>
    <n v="0"/>
    <n v="14"/>
    <n v="3"/>
    <n v="2"/>
    <n v="80"/>
    <n v="0"/>
    <n v="21"/>
    <n v="3"/>
    <n v="20"/>
    <n v="7"/>
    <n v="4"/>
    <n v="10"/>
  </r>
  <r>
    <s v="No"/>
    <s v="Travel_Rarely"/>
    <s v="35 - 44"/>
    <s v="Current Employees"/>
    <s v="R&amp;D"/>
    <x v="0"/>
    <s v="STAFF-373"/>
    <n v="373"/>
    <x v="1"/>
    <s v="Laboratory Technician"/>
    <s v="Married"/>
    <s v="No"/>
    <s v="Y"/>
    <n v="4"/>
    <n v="-2"/>
    <n v="0"/>
    <n v="36"/>
    <n v="0"/>
    <m/>
    <n v="0"/>
    <n v="1"/>
    <n v="1403"/>
    <n v="6"/>
    <s v="Bachelor's Degree"/>
    <n v="1"/>
    <n v="4"/>
    <n v="47"/>
    <n v="3"/>
    <n v="1"/>
    <x v="1"/>
    <n v="3210"/>
    <n v="20251"/>
    <n v="0"/>
    <n v="11"/>
    <n v="3"/>
    <n v="3"/>
    <n v="80"/>
    <n v="1"/>
    <n v="16"/>
    <n v="3"/>
    <n v="15"/>
    <n v="13"/>
    <n v="10"/>
    <n v="11"/>
  </r>
  <r>
    <s v="No"/>
    <s v="Travel_Rarely"/>
    <s v="Over 55"/>
    <s v="Current Employees"/>
    <s v="R&amp;D"/>
    <x v="2"/>
    <s v="STAFF-374"/>
    <n v="374"/>
    <x v="1"/>
    <s v="Manager"/>
    <s v="Single"/>
    <s v="Yes"/>
    <s v="Y"/>
    <n v="2"/>
    <n v="-2"/>
    <n v="0"/>
    <n v="55"/>
    <n v="0"/>
    <m/>
    <n v="0"/>
    <n v="1"/>
    <n v="452"/>
    <n v="1"/>
    <s v="Bachelor's Degree"/>
    <n v="1"/>
    <n v="4"/>
    <n v="81"/>
    <n v="3"/>
    <n v="5"/>
    <x v="2"/>
    <n v="19045"/>
    <n v="18938"/>
    <n v="0"/>
    <n v="14"/>
    <n v="3"/>
    <n v="3"/>
    <n v="80"/>
    <n v="0"/>
    <n v="37"/>
    <n v="3"/>
    <n v="36"/>
    <n v="10"/>
    <n v="4"/>
    <n v="13"/>
  </r>
  <r>
    <s v="Yes"/>
    <s v="Non-Travel"/>
    <s v="45 - 54"/>
    <s v="Ex-Employees"/>
    <s v="R&amp;D"/>
    <x v="0"/>
    <s v="STAFF-376"/>
    <n v="376"/>
    <x v="1"/>
    <s v="Manager"/>
    <s v="Married"/>
    <s v="Yes"/>
    <s v="Y"/>
    <n v="2"/>
    <n v="-2"/>
    <n v="0"/>
    <n v="47"/>
    <n v="1"/>
    <n v="1"/>
    <n v="1"/>
    <n v="0"/>
    <n v="666"/>
    <n v="29"/>
    <s v="Master's Degree"/>
    <n v="1"/>
    <n v="1"/>
    <n v="88"/>
    <n v="3"/>
    <n v="3"/>
    <x v="1"/>
    <n v="11849"/>
    <n v="10268"/>
    <n v="1"/>
    <n v="12"/>
    <n v="3"/>
    <n v="4"/>
    <n v="80"/>
    <n v="1"/>
    <n v="10"/>
    <n v="2"/>
    <n v="10"/>
    <n v="7"/>
    <n v="9"/>
    <n v="9"/>
  </r>
  <r>
    <s v="No"/>
    <s v="Travel_Rarely"/>
    <s v="25 - 34"/>
    <s v="Current Employees"/>
    <s v="R&amp;D"/>
    <x v="2"/>
    <s v="STAFF-377"/>
    <n v="377"/>
    <x v="1"/>
    <s v="Research Scientist"/>
    <s v="Married"/>
    <s v="No"/>
    <s v="Y"/>
    <n v="3"/>
    <n v="-2"/>
    <n v="0"/>
    <n v="28"/>
    <n v="0"/>
    <m/>
    <n v="0"/>
    <n v="1"/>
    <n v="1158"/>
    <n v="9"/>
    <s v="Bachelor's Degree"/>
    <n v="1"/>
    <n v="4"/>
    <n v="94"/>
    <n v="3"/>
    <n v="1"/>
    <x v="0"/>
    <n v="2070"/>
    <n v="2613"/>
    <n v="1"/>
    <n v="23"/>
    <n v="4"/>
    <n v="4"/>
    <n v="80"/>
    <n v="1"/>
    <n v="5"/>
    <n v="2"/>
    <n v="5"/>
    <n v="2"/>
    <n v="0"/>
    <n v="4"/>
  </r>
  <r>
    <s v="No"/>
    <s v="Travel_Rarely"/>
    <s v="35 - 44"/>
    <s v="Current Employees"/>
    <s v="Sales"/>
    <x v="2"/>
    <s v="STAFF-378"/>
    <n v="378"/>
    <x v="1"/>
    <s v="Sales Executive"/>
    <s v="Married"/>
    <s v="No"/>
    <s v="Y"/>
    <n v="5"/>
    <n v="-2"/>
    <n v="0"/>
    <n v="37"/>
    <n v="0"/>
    <m/>
    <n v="0"/>
    <n v="1"/>
    <n v="228"/>
    <n v="6"/>
    <s v="Master's Degree"/>
    <n v="1"/>
    <n v="3"/>
    <n v="98"/>
    <n v="3"/>
    <n v="2"/>
    <x v="0"/>
    <n v="6502"/>
    <n v="22825"/>
    <n v="4"/>
    <n v="14"/>
    <n v="3"/>
    <n v="2"/>
    <n v="80"/>
    <n v="1"/>
    <n v="7"/>
    <n v="4"/>
    <n v="5"/>
    <n v="4"/>
    <n v="0"/>
    <n v="1"/>
  </r>
  <r>
    <s v="No"/>
    <s v="Travel_Rarely"/>
    <s v="Under 25"/>
    <s v="Current Employees"/>
    <s v="R&amp;D"/>
    <x v="2"/>
    <s v="STAFF-379"/>
    <n v="379"/>
    <x v="1"/>
    <s v="Research Scientist"/>
    <s v="Single"/>
    <s v="No"/>
    <s v="Y"/>
    <n v="4"/>
    <n v="-2"/>
    <n v="0"/>
    <n v="21"/>
    <n v="0"/>
    <m/>
    <n v="0"/>
    <n v="1"/>
    <n v="996"/>
    <n v="3"/>
    <s v="Associates Degree"/>
    <n v="1"/>
    <n v="4"/>
    <n v="100"/>
    <n v="2"/>
    <n v="1"/>
    <x v="2"/>
    <n v="3230"/>
    <n v="10531"/>
    <n v="1"/>
    <n v="17"/>
    <n v="3"/>
    <n v="1"/>
    <n v="80"/>
    <n v="0"/>
    <n v="3"/>
    <n v="4"/>
    <n v="3"/>
    <n v="2"/>
    <n v="1"/>
    <n v="0"/>
  </r>
  <r>
    <s v="No"/>
    <s v="Non-Travel"/>
    <s v="35 - 44"/>
    <s v="Current Employees"/>
    <s v="R&amp;D"/>
    <x v="2"/>
    <s v="STAFF-380"/>
    <n v="380"/>
    <x v="0"/>
    <s v="Research Director"/>
    <s v="Divorced"/>
    <s v="Yes"/>
    <s v="Y"/>
    <n v="2"/>
    <n v="-2"/>
    <n v="0"/>
    <n v="37"/>
    <n v="0"/>
    <m/>
    <n v="0"/>
    <n v="1"/>
    <n v="728"/>
    <n v="1"/>
    <s v="Master's Degree"/>
    <n v="1"/>
    <n v="1"/>
    <n v="80"/>
    <n v="3"/>
    <n v="3"/>
    <x v="0"/>
    <n v="13603"/>
    <n v="11677"/>
    <n v="2"/>
    <n v="18"/>
    <n v="3"/>
    <n v="1"/>
    <n v="80"/>
    <n v="2"/>
    <n v="15"/>
    <n v="3"/>
    <n v="5"/>
    <n v="2"/>
    <n v="0"/>
    <n v="2"/>
  </r>
  <r>
    <s v="No"/>
    <s v="Travel_Rarely"/>
    <s v="35 - 44"/>
    <s v="Current Employees"/>
    <s v="R&amp;D"/>
    <x v="0"/>
    <s v="STAFF-381"/>
    <n v="381"/>
    <x v="0"/>
    <s v="Manager"/>
    <s v="Divorced"/>
    <s v="No"/>
    <s v="Y"/>
    <n v="6"/>
    <n v="-2"/>
    <n v="0"/>
    <n v="35"/>
    <n v="0"/>
    <m/>
    <n v="0"/>
    <n v="1"/>
    <n v="1315"/>
    <n v="22"/>
    <s v="Bachelor's Degree"/>
    <n v="1"/>
    <n v="2"/>
    <n v="71"/>
    <n v="4"/>
    <n v="3"/>
    <x v="1"/>
    <n v="11996"/>
    <n v="19100"/>
    <n v="7"/>
    <n v="18"/>
    <n v="3"/>
    <n v="2"/>
    <n v="80"/>
    <n v="1"/>
    <n v="10"/>
    <n v="2"/>
    <n v="7"/>
    <n v="7"/>
    <n v="6"/>
    <n v="2"/>
  </r>
  <r>
    <s v="No"/>
    <s v="Travel_Rarely"/>
    <s v="35 - 44"/>
    <s v="Current Employees"/>
    <s v="Sales"/>
    <x v="2"/>
    <s v="STAFF-382"/>
    <n v="382"/>
    <x v="0"/>
    <s v="Sales Executive"/>
    <s v="Divorced"/>
    <s v="Yes"/>
    <s v="Y"/>
    <n v="3"/>
    <n v="-2"/>
    <n v="0"/>
    <n v="38"/>
    <n v="0"/>
    <m/>
    <n v="0"/>
    <n v="1"/>
    <n v="322"/>
    <n v="7"/>
    <s v="Associates Degree"/>
    <n v="1"/>
    <n v="1"/>
    <n v="44"/>
    <n v="4"/>
    <n v="2"/>
    <x v="2"/>
    <n v="5605"/>
    <n v="19191"/>
    <n v="1"/>
    <n v="24"/>
    <n v="4"/>
    <n v="3"/>
    <n v="80"/>
    <n v="1"/>
    <n v="8"/>
    <n v="3"/>
    <n v="8"/>
    <n v="0"/>
    <n v="7"/>
    <n v="7"/>
  </r>
  <r>
    <s v="No"/>
    <s v="Travel_Frequently"/>
    <s v="25 - 34"/>
    <s v="Current Employees"/>
    <s v="R&amp;D"/>
    <x v="0"/>
    <s v="STAFF-384"/>
    <n v="384"/>
    <x v="0"/>
    <s v="Manufacturing Director"/>
    <s v="Divorced"/>
    <s v="No"/>
    <s v="Y"/>
    <n v="6"/>
    <n v="-2"/>
    <n v="0"/>
    <n v="26"/>
    <n v="0"/>
    <m/>
    <n v="0"/>
    <n v="1"/>
    <n v="1479"/>
    <n v="1"/>
    <s v="Bachelor's Degree"/>
    <n v="1"/>
    <n v="3"/>
    <n v="84"/>
    <n v="3"/>
    <n v="2"/>
    <x v="1"/>
    <n v="6397"/>
    <n v="26767"/>
    <n v="1"/>
    <n v="20"/>
    <n v="4"/>
    <n v="1"/>
    <n v="80"/>
    <n v="1"/>
    <n v="6"/>
    <n v="1"/>
    <n v="6"/>
    <n v="5"/>
    <n v="1"/>
    <n v="4"/>
  </r>
  <r>
    <s v="No"/>
    <s v="Travel_Rarely"/>
    <s v="45 - 54"/>
    <s v="Current Employees"/>
    <s v="R&amp;D"/>
    <x v="0"/>
    <s v="STAFF-385"/>
    <n v="385"/>
    <x v="1"/>
    <s v="Research Director"/>
    <s v="Divorced"/>
    <s v="No"/>
    <s v="Y"/>
    <n v="4"/>
    <n v="-2"/>
    <n v="0"/>
    <n v="50"/>
    <n v="0"/>
    <m/>
    <n v="0"/>
    <n v="1"/>
    <n v="797"/>
    <n v="4"/>
    <s v="High School"/>
    <n v="1"/>
    <n v="1"/>
    <n v="96"/>
    <n v="3"/>
    <n v="5"/>
    <x v="1"/>
    <n v="19144"/>
    <n v="15815"/>
    <n v="3"/>
    <n v="14"/>
    <n v="3"/>
    <n v="1"/>
    <n v="80"/>
    <n v="2"/>
    <n v="28"/>
    <n v="2"/>
    <n v="10"/>
    <n v="4"/>
    <n v="1"/>
    <n v="6"/>
  </r>
  <r>
    <s v="No"/>
    <s v="Travel_Rarely"/>
    <s v="45 - 54"/>
    <s v="Current Employees"/>
    <s v="R&amp;D"/>
    <x v="2"/>
    <s v="STAFF-386"/>
    <n v="386"/>
    <x v="1"/>
    <s v="Research Director"/>
    <s v="Married"/>
    <s v="Yes"/>
    <s v="Y"/>
    <n v="5"/>
    <n v="-2"/>
    <n v="0"/>
    <n v="53"/>
    <n v="0"/>
    <m/>
    <n v="0"/>
    <n v="1"/>
    <n v="1070"/>
    <n v="3"/>
    <s v="Master's Degree"/>
    <n v="1"/>
    <n v="3"/>
    <n v="45"/>
    <n v="3"/>
    <n v="4"/>
    <x v="2"/>
    <n v="17584"/>
    <n v="21016"/>
    <n v="3"/>
    <n v="16"/>
    <n v="3"/>
    <n v="4"/>
    <n v="80"/>
    <n v="3"/>
    <n v="21"/>
    <n v="2"/>
    <n v="5"/>
    <n v="3"/>
    <n v="1"/>
    <n v="3"/>
  </r>
  <r>
    <s v="No"/>
    <s v="Travel_Rarely"/>
    <s v="35 - 44"/>
    <s v="Current Employees"/>
    <s v="Sales"/>
    <x v="0"/>
    <s v="STAFF-387"/>
    <n v="387"/>
    <x v="1"/>
    <s v="Sales Executive"/>
    <s v="Married"/>
    <s v="No"/>
    <s v="Y"/>
    <n v="3"/>
    <n v="-2"/>
    <n v="0"/>
    <n v="42"/>
    <n v="0"/>
    <m/>
    <n v="0"/>
    <n v="1"/>
    <n v="635"/>
    <n v="1"/>
    <s v="High School"/>
    <n v="1"/>
    <n v="2"/>
    <n v="99"/>
    <n v="3"/>
    <n v="2"/>
    <x v="1"/>
    <n v="4907"/>
    <n v="24532"/>
    <n v="1"/>
    <n v="25"/>
    <n v="4"/>
    <n v="3"/>
    <n v="80"/>
    <n v="0"/>
    <n v="20"/>
    <n v="3"/>
    <n v="20"/>
    <n v="16"/>
    <n v="11"/>
    <n v="6"/>
  </r>
  <r>
    <s v="No"/>
    <s v="Travel_Frequently"/>
    <s v="25 - 34"/>
    <s v="Current Employees"/>
    <s v="Sales"/>
    <x v="0"/>
    <s v="STAFF-388"/>
    <n v="388"/>
    <x v="1"/>
    <s v="Sales Executive"/>
    <s v="Single"/>
    <s v="No"/>
    <s v="Y"/>
    <n v="3"/>
    <n v="-2"/>
    <n v="0"/>
    <n v="29"/>
    <n v="0"/>
    <m/>
    <n v="0"/>
    <n v="1"/>
    <n v="442"/>
    <n v="2"/>
    <s v="Associates Degree"/>
    <n v="1"/>
    <n v="2"/>
    <n v="44"/>
    <n v="3"/>
    <n v="2"/>
    <x v="1"/>
    <n v="4554"/>
    <n v="20260"/>
    <n v="1"/>
    <n v="18"/>
    <n v="3"/>
    <n v="1"/>
    <n v="80"/>
    <n v="0"/>
    <n v="10"/>
    <n v="2"/>
    <n v="10"/>
    <n v="7"/>
    <n v="0"/>
    <n v="9"/>
  </r>
  <r>
    <s v="No"/>
    <s v="Travel_Rarely"/>
    <s v="Over 55"/>
    <s v="Current Employees"/>
    <s v="R&amp;D"/>
    <x v="4"/>
    <s v="STAFF-389"/>
    <n v="389"/>
    <x v="1"/>
    <s v="Laboratory Technician"/>
    <s v="Married"/>
    <s v="Yes"/>
    <s v="Y"/>
    <n v="4"/>
    <n v="-2"/>
    <n v="0"/>
    <n v="55"/>
    <n v="0"/>
    <m/>
    <n v="0"/>
    <n v="1"/>
    <n v="147"/>
    <n v="20"/>
    <s v="Associates Degree"/>
    <n v="1"/>
    <n v="4"/>
    <n v="37"/>
    <n v="3"/>
    <n v="2"/>
    <x v="0"/>
    <n v="5415"/>
    <n v="15972"/>
    <n v="3"/>
    <n v="19"/>
    <n v="3"/>
    <n v="4"/>
    <n v="80"/>
    <n v="1"/>
    <n v="12"/>
    <n v="3"/>
    <n v="10"/>
    <n v="7"/>
    <n v="0"/>
    <n v="8"/>
  </r>
  <r>
    <s v="No"/>
    <s v="Travel_Frequently"/>
    <s v="25 - 34"/>
    <s v="Current Employees"/>
    <s v="R&amp;D"/>
    <x v="2"/>
    <s v="STAFF-390"/>
    <n v="390"/>
    <x v="1"/>
    <s v="Healthcare Representative"/>
    <s v="Married"/>
    <s v="Yes"/>
    <s v="Y"/>
    <n v="3"/>
    <n v="-2"/>
    <n v="0"/>
    <n v="26"/>
    <n v="0"/>
    <m/>
    <n v="0"/>
    <n v="1"/>
    <n v="496"/>
    <n v="11"/>
    <s v="Associates Degree"/>
    <n v="1"/>
    <n v="1"/>
    <n v="60"/>
    <n v="3"/>
    <n v="2"/>
    <x v="2"/>
    <n v="4741"/>
    <n v="22722"/>
    <n v="1"/>
    <n v="13"/>
    <n v="3"/>
    <n v="3"/>
    <n v="80"/>
    <n v="1"/>
    <n v="5"/>
    <n v="3"/>
    <n v="5"/>
    <n v="3"/>
    <n v="3"/>
    <n v="3"/>
  </r>
  <r>
    <s v="No"/>
    <s v="Travel_Rarely"/>
    <s v="35 - 44"/>
    <s v="Current Employees"/>
    <s v="R&amp;D"/>
    <x v="0"/>
    <s v="STAFF-391"/>
    <n v="391"/>
    <x v="0"/>
    <s v="Research Scientist"/>
    <s v="Single"/>
    <s v="No"/>
    <s v="Y"/>
    <n v="3"/>
    <n v="-2"/>
    <n v="0"/>
    <n v="37"/>
    <n v="0"/>
    <m/>
    <n v="0"/>
    <n v="1"/>
    <n v="1372"/>
    <n v="1"/>
    <s v="Bachelor's Degree"/>
    <n v="1"/>
    <n v="4"/>
    <n v="42"/>
    <n v="3"/>
    <n v="1"/>
    <x v="1"/>
    <n v="2115"/>
    <n v="15881"/>
    <n v="1"/>
    <n v="12"/>
    <n v="3"/>
    <n v="2"/>
    <n v="80"/>
    <n v="0"/>
    <n v="17"/>
    <n v="3"/>
    <n v="17"/>
    <n v="12"/>
    <n v="5"/>
    <n v="7"/>
  </r>
  <r>
    <s v="Yes"/>
    <s v="Travel_Frequently"/>
    <s v="35 - 44"/>
    <s v="Ex-Employees"/>
    <s v="R&amp;D"/>
    <x v="0"/>
    <s v="STAFF-392"/>
    <n v="392"/>
    <x v="1"/>
    <s v="Laboratory Technician"/>
    <s v="Divorced"/>
    <s v="Yes"/>
    <s v="Y"/>
    <n v="0"/>
    <n v="-2"/>
    <n v="0"/>
    <n v="44"/>
    <n v="1"/>
    <n v="1"/>
    <n v="1"/>
    <n v="0"/>
    <n v="920"/>
    <n v="24"/>
    <s v="Bachelor's Degree"/>
    <n v="1"/>
    <n v="4"/>
    <n v="43"/>
    <n v="3"/>
    <n v="1"/>
    <x v="1"/>
    <n v="3161"/>
    <n v="19920"/>
    <n v="3"/>
    <n v="22"/>
    <n v="4"/>
    <n v="4"/>
    <n v="80"/>
    <n v="1"/>
    <n v="19"/>
    <n v="1"/>
    <n v="1"/>
    <n v="0"/>
    <n v="0"/>
    <n v="0"/>
  </r>
  <r>
    <s v="No"/>
    <s v="Travel_Rarely"/>
    <s v="35 - 44"/>
    <s v="Current Employees"/>
    <s v="R&amp;D"/>
    <x v="0"/>
    <s v="STAFF-393"/>
    <n v="393"/>
    <x v="1"/>
    <s v="Healthcare Representative"/>
    <s v="Divorced"/>
    <s v="No"/>
    <s v="Y"/>
    <n v="2"/>
    <n v="-2"/>
    <n v="0"/>
    <n v="38"/>
    <n v="0"/>
    <m/>
    <n v="0"/>
    <n v="1"/>
    <n v="688"/>
    <n v="23"/>
    <s v="Master's Degree"/>
    <n v="1"/>
    <n v="4"/>
    <n v="82"/>
    <n v="3"/>
    <n v="2"/>
    <x v="1"/>
    <n v="5745"/>
    <n v="18899"/>
    <n v="9"/>
    <n v="14"/>
    <n v="3"/>
    <n v="2"/>
    <n v="80"/>
    <n v="1"/>
    <n v="10"/>
    <n v="3"/>
    <n v="2"/>
    <n v="2"/>
    <n v="1"/>
    <n v="2"/>
  </r>
  <r>
    <s v="Yes"/>
    <s v="Travel_Rarely"/>
    <s v="25 - 34"/>
    <s v="Ex-Employees"/>
    <s v="R&amp;D"/>
    <x v="2"/>
    <s v="STAFF-394"/>
    <n v="394"/>
    <x v="1"/>
    <s v="Laboratory Technician"/>
    <s v="Divorced"/>
    <s v="Yes"/>
    <s v="Y"/>
    <n v="2"/>
    <n v="-2"/>
    <n v="0"/>
    <n v="26"/>
    <n v="1"/>
    <n v="1"/>
    <n v="1"/>
    <n v="0"/>
    <n v="1449"/>
    <n v="16"/>
    <s v="Master's Degree"/>
    <n v="1"/>
    <n v="1"/>
    <n v="45"/>
    <n v="3"/>
    <n v="1"/>
    <x v="2"/>
    <n v="2373"/>
    <n v="14180"/>
    <n v="2"/>
    <n v="13"/>
    <n v="3"/>
    <n v="4"/>
    <n v="80"/>
    <n v="1"/>
    <n v="5"/>
    <n v="3"/>
    <n v="3"/>
    <n v="2"/>
    <n v="0"/>
    <n v="2"/>
  </r>
  <r>
    <s v="No"/>
    <s v="Travel_Rarely"/>
    <s v="25 - 34"/>
    <s v="Current Employees"/>
    <s v="R&amp;D"/>
    <x v="0"/>
    <s v="STAFF-395"/>
    <n v="395"/>
    <x v="0"/>
    <s v="Research Scientist"/>
    <s v="Single"/>
    <s v="No"/>
    <s v="Y"/>
    <n v="3"/>
    <n v="-2"/>
    <n v="0"/>
    <n v="28"/>
    <n v="0"/>
    <m/>
    <n v="0"/>
    <n v="1"/>
    <n v="1117"/>
    <n v="8"/>
    <s v="Associates Degree"/>
    <n v="1"/>
    <n v="4"/>
    <n v="66"/>
    <n v="3"/>
    <n v="1"/>
    <x v="1"/>
    <n v="3310"/>
    <n v="4488"/>
    <n v="1"/>
    <n v="21"/>
    <n v="4"/>
    <n v="4"/>
    <n v="80"/>
    <n v="0"/>
    <n v="5"/>
    <n v="3"/>
    <n v="5"/>
    <n v="3"/>
    <n v="0"/>
    <n v="2"/>
  </r>
  <r>
    <s v="No"/>
    <s v="Travel_Frequently"/>
    <s v="45 - 54"/>
    <s v="Current Employees"/>
    <s v="R&amp;D"/>
    <x v="0"/>
    <s v="STAFF-396"/>
    <n v="396"/>
    <x v="0"/>
    <s v="Research Director"/>
    <s v="Single"/>
    <s v="Yes"/>
    <s v="Y"/>
    <n v="4"/>
    <n v="-2"/>
    <n v="0"/>
    <n v="49"/>
    <n v="0"/>
    <m/>
    <n v="0"/>
    <n v="1"/>
    <n v="636"/>
    <n v="10"/>
    <s v="Master's Degree"/>
    <n v="1"/>
    <n v="3"/>
    <n v="35"/>
    <n v="3"/>
    <n v="5"/>
    <x v="1"/>
    <n v="18665"/>
    <n v="25594"/>
    <n v="9"/>
    <n v="11"/>
    <n v="3"/>
    <n v="4"/>
    <n v="80"/>
    <n v="0"/>
    <n v="22"/>
    <n v="3"/>
    <n v="3"/>
    <n v="2"/>
    <n v="1"/>
    <n v="2"/>
  </r>
  <r>
    <s v="No"/>
    <s v="Travel_Rarely"/>
    <s v="35 - 44"/>
    <s v="Current Employees"/>
    <s v="R&amp;D"/>
    <x v="4"/>
    <s v="STAFF-397"/>
    <n v="397"/>
    <x v="1"/>
    <s v="Research Scientist"/>
    <s v="Single"/>
    <s v="No"/>
    <s v="Y"/>
    <n v="2"/>
    <n v="-2"/>
    <n v="0"/>
    <n v="36"/>
    <n v="0"/>
    <m/>
    <n v="0"/>
    <n v="1"/>
    <n v="506"/>
    <n v="3"/>
    <s v="Bachelor's Degree"/>
    <n v="1"/>
    <n v="4"/>
    <n v="30"/>
    <n v="3"/>
    <n v="2"/>
    <x v="0"/>
    <n v="4485"/>
    <n v="26285"/>
    <n v="4"/>
    <n v="12"/>
    <n v="3"/>
    <n v="4"/>
    <n v="80"/>
    <n v="0"/>
    <n v="10"/>
    <n v="3"/>
    <n v="8"/>
    <n v="0"/>
    <n v="7"/>
    <n v="7"/>
  </r>
  <r>
    <s v="No"/>
    <s v="Travel_Frequently"/>
    <s v="25 - 34"/>
    <s v="Current Employees"/>
    <s v="Sales"/>
    <x v="3"/>
    <s v="STAFF-399"/>
    <n v="399"/>
    <x v="0"/>
    <s v="Sales Representative"/>
    <s v="Divorced"/>
    <s v="No"/>
    <s v="Y"/>
    <n v="5"/>
    <n v="-2"/>
    <n v="0"/>
    <n v="31"/>
    <n v="0"/>
    <m/>
    <n v="0"/>
    <n v="1"/>
    <n v="444"/>
    <n v="5"/>
    <s v="Bachelor's Degree"/>
    <n v="1"/>
    <n v="4"/>
    <n v="84"/>
    <n v="3"/>
    <n v="1"/>
    <x v="3"/>
    <n v="2789"/>
    <n v="3909"/>
    <n v="1"/>
    <n v="11"/>
    <n v="3"/>
    <n v="3"/>
    <n v="80"/>
    <n v="1"/>
    <n v="2"/>
    <n v="2"/>
    <n v="2"/>
    <n v="2"/>
    <n v="2"/>
    <n v="2"/>
  </r>
  <r>
    <s v="Yes"/>
    <s v="Travel_Rarely"/>
    <s v="25 - 34"/>
    <s v="Ex-Employees"/>
    <s v="Sales"/>
    <x v="3"/>
    <s v="STAFF-401"/>
    <n v="401"/>
    <x v="1"/>
    <s v="Sales Executive"/>
    <s v="Single"/>
    <s v="Yes"/>
    <s v="Y"/>
    <n v="0"/>
    <n v="-2"/>
    <n v="0"/>
    <n v="26"/>
    <n v="1"/>
    <n v="1"/>
    <n v="1"/>
    <n v="0"/>
    <n v="950"/>
    <n v="4"/>
    <s v="Master's Degree"/>
    <n v="1"/>
    <n v="4"/>
    <n v="48"/>
    <n v="2"/>
    <n v="2"/>
    <x v="3"/>
    <n v="5828"/>
    <n v="8450"/>
    <n v="1"/>
    <n v="12"/>
    <n v="3"/>
    <n v="2"/>
    <n v="80"/>
    <n v="0"/>
    <n v="8"/>
    <n v="3"/>
    <n v="8"/>
    <n v="7"/>
    <n v="7"/>
    <n v="4"/>
  </r>
  <r>
    <s v="No"/>
    <s v="Travel_Frequently"/>
    <s v="35 - 44"/>
    <s v="Current Employees"/>
    <s v="R&amp;D"/>
    <x v="2"/>
    <s v="STAFF-403"/>
    <n v="403"/>
    <x v="1"/>
    <s v="Research Scientist"/>
    <s v="Married"/>
    <s v="Yes"/>
    <s v="Y"/>
    <n v="3"/>
    <n v="-2"/>
    <n v="0"/>
    <n v="37"/>
    <n v="0"/>
    <m/>
    <n v="0"/>
    <n v="1"/>
    <n v="889"/>
    <n v="9"/>
    <s v="Bachelor's Degree"/>
    <n v="1"/>
    <n v="2"/>
    <n v="53"/>
    <n v="3"/>
    <n v="1"/>
    <x v="0"/>
    <n v="2326"/>
    <n v="11411"/>
    <n v="1"/>
    <n v="12"/>
    <n v="3"/>
    <n v="3"/>
    <n v="80"/>
    <n v="3"/>
    <n v="4"/>
    <n v="2"/>
    <n v="4"/>
    <n v="2"/>
    <n v="1"/>
    <n v="2"/>
  </r>
  <r>
    <s v="No"/>
    <s v="Travel_Frequently"/>
    <s v="35 - 44"/>
    <s v="Current Employees"/>
    <s v="Sales"/>
    <x v="3"/>
    <s v="STAFF-404"/>
    <n v="404"/>
    <x v="0"/>
    <s v="Sales Executive"/>
    <s v="Married"/>
    <s v="No"/>
    <s v="Y"/>
    <n v="2"/>
    <n v="-2"/>
    <n v="0"/>
    <n v="42"/>
    <n v="0"/>
    <m/>
    <n v="0"/>
    <n v="1"/>
    <n v="555"/>
    <n v="26"/>
    <s v="Bachelor's Degree"/>
    <n v="1"/>
    <n v="3"/>
    <n v="77"/>
    <n v="3"/>
    <n v="4"/>
    <x v="3"/>
    <n v="13525"/>
    <n v="14864"/>
    <n v="5"/>
    <n v="14"/>
    <n v="3"/>
    <n v="4"/>
    <n v="80"/>
    <n v="1"/>
    <n v="23"/>
    <n v="4"/>
    <n v="20"/>
    <n v="4"/>
    <n v="4"/>
    <n v="8"/>
  </r>
  <r>
    <s v="Yes"/>
    <s v="Travel_Rarely"/>
    <s v="Under 25"/>
    <s v="Ex-Employees"/>
    <s v="R&amp;D"/>
    <x v="0"/>
    <s v="STAFF-405"/>
    <n v="405"/>
    <x v="1"/>
    <s v="Laboratory Technician"/>
    <s v="Single"/>
    <s v="No"/>
    <s v="Y"/>
    <n v="2"/>
    <n v="-2"/>
    <n v="0"/>
    <n v="18"/>
    <n v="1"/>
    <n v="1"/>
    <n v="1"/>
    <n v="0"/>
    <n v="230"/>
    <n v="3"/>
    <s v="Bachelor's Degree"/>
    <n v="1"/>
    <n v="3"/>
    <n v="54"/>
    <n v="3"/>
    <n v="1"/>
    <x v="1"/>
    <n v="1420"/>
    <n v="25233"/>
    <n v="1"/>
    <n v="13"/>
    <n v="3"/>
    <n v="3"/>
    <n v="80"/>
    <n v="0"/>
    <n v="0"/>
    <n v="3"/>
    <n v="0"/>
    <n v="0"/>
    <n v="0"/>
    <n v="0"/>
  </r>
  <r>
    <s v="No"/>
    <s v="Travel_Rarely"/>
    <s v="35 - 44"/>
    <s v="Current Employees"/>
    <s v="Sales"/>
    <x v="3"/>
    <s v="STAFF-406"/>
    <n v="406"/>
    <x v="1"/>
    <s v="Sales Executive"/>
    <s v="Married"/>
    <s v="No"/>
    <s v="Y"/>
    <n v="3"/>
    <n v="-2"/>
    <n v="0"/>
    <n v="35"/>
    <n v="0"/>
    <m/>
    <n v="0"/>
    <n v="1"/>
    <n v="1232"/>
    <n v="16"/>
    <s v="Bachelor's Degree"/>
    <n v="1"/>
    <n v="3"/>
    <n v="96"/>
    <n v="3"/>
    <n v="3"/>
    <x v="3"/>
    <n v="8020"/>
    <n v="5100"/>
    <n v="0"/>
    <n v="15"/>
    <n v="3"/>
    <n v="3"/>
    <n v="80"/>
    <n v="2"/>
    <n v="12"/>
    <n v="2"/>
    <n v="11"/>
    <n v="9"/>
    <n v="6"/>
    <n v="9"/>
  </r>
  <r>
    <s v="No"/>
    <s v="Travel_Frequently"/>
    <s v="35 - 44"/>
    <s v="Current Employees"/>
    <s v="R&amp;D"/>
    <x v="0"/>
    <s v="STAFF-407"/>
    <n v="407"/>
    <x v="1"/>
    <s v="Laboratory Technician"/>
    <s v="Married"/>
    <s v="No"/>
    <s v="Y"/>
    <n v="2"/>
    <n v="-2"/>
    <n v="0"/>
    <n v="36"/>
    <n v="0"/>
    <m/>
    <n v="0"/>
    <n v="1"/>
    <n v="566"/>
    <n v="18"/>
    <s v="Master's Degree"/>
    <n v="1"/>
    <n v="3"/>
    <n v="81"/>
    <n v="4"/>
    <n v="1"/>
    <x v="1"/>
    <n v="3688"/>
    <n v="7122"/>
    <n v="4"/>
    <n v="18"/>
    <n v="3"/>
    <n v="4"/>
    <n v="80"/>
    <n v="2"/>
    <n v="4"/>
    <n v="3"/>
    <n v="1"/>
    <n v="0"/>
    <n v="0"/>
    <n v="0"/>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r>
    <m/>
    <m/>
    <m/>
    <m/>
    <m/>
    <x v="6"/>
    <m/>
    <m/>
    <x v="2"/>
    <m/>
    <m/>
    <m/>
    <m/>
    <m/>
    <m/>
    <m/>
    <m/>
    <m/>
    <m/>
    <m/>
    <m/>
    <m/>
    <m/>
    <m/>
    <m/>
    <m/>
    <m/>
    <m/>
    <m/>
    <x v="4"/>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KPI"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formats count="1">
    <format dxfId="717">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5" minRefreshableVersion="3" useAutoFormatting="1" itemPrintTitles="1" createdVersion="5" indent="0" showHeaders="0" outline="1" outlineData="1" multipleFieldFilters="0">
  <location ref="A3:A4" firstHeaderRow="1" firstDataRow="1" firstDataCol="0"/>
  <pivotFields count="44">
    <pivotField showAll="0"/>
    <pivotField showAll="0"/>
    <pivotField showAll="0"/>
    <pivotField showAll="0"/>
    <pivotField showAll="0"/>
    <pivotField showAll="0">
      <items count="8">
        <item h="1" x="5"/>
        <item h="1" x="0"/>
        <item x="3"/>
        <item h="1" x="2"/>
        <item h="1" x="1"/>
        <item h="1" x="4"/>
        <item h="1" x="6"/>
        <item t="default"/>
      </items>
    </pivotField>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3"/>
        <item x="1"/>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2"/>
  </dataFields>
  <formats count="3">
    <format dxfId="716">
      <pivotArea dataOnly="0" outline="0" axis="axisValues" fieldPosition="0"/>
    </format>
    <format dxfId="715">
      <pivotArea dataOnly="0" labelOnly="1" outline="0" axis="axisValues" fieldPosition="0"/>
    </format>
    <format dxfId="71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Gender"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formats count="4">
    <format dxfId="713">
      <pivotArea field="8" type="button" dataOnly="0" labelOnly="1" outline="0" axis="axisRow" fieldPosition="0"/>
    </format>
    <format dxfId="712">
      <pivotArea dataOnly="0" labelOnly="1" outline="0" axis="axisValues" fieldPosition="0"/>
    </format>
    <format dxfId="711">
      <pivotArea dataOnly="0" labelOnly="1" grandRow="1" outline="0" fieldPosition="0"/>
    </format>
    <format dxfId="710">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Education by Attrition"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8">
    <format dxfId="709">
      <pivotArea field="23" type="button" dataOnly="0" labelOnly="1" outline="0" axis="axisRow" fieldPosition="0"/>
    </format>
    <format dxfId="708">
      <pivotArea dataOnly="0" labelOnly="1" outline="0" axis="axisValues" fieldPosition="0"/>
    </format>
    <format dxfId="707">
      <pivotArea dataOnly="0" labelOnly="1" grandRow="1" outline="0" fieldPosition="0"/>
    </format>
    <format dxfId="706">
      <pivotArea grandRow="1" outline="0" collapsedLevelsAreSubtotals="1" fieldPosition="0"/>
    </format>
    <format dxfId="705">
      <pivotArea field="23" type="button" dataOnly="0" labelOnly="1" outline="0" axis="axisRow" fieldPosition="0"/>
    </format>
    <format dxfId="704">
      <pivotArea dataOnly="0" labelOnly="1" outline="0" axis="axisValues" fieldPosition="0"/>
    </format>
    <format dxfId="703">
      <pivotArea grandRow="1" outline="0" collapsedLevelsAreSubtotals="1" fieldPosition="0"/>
    </format>
    <format dxfId="70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Attrition by Job"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17">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4">
    <format dxfId="701">
      <pivotArea field="9" type="button" dataOnly="0" labelOnly="1" outline="0" axis="axisRow" fieldPosition="0"/>
    </format>
    <format dxfId="700">
      <pivotArea dataOnly="0" labelOnly="1" outline="0" axis="axisValues" fieldPosition="0"/>
    </format>
    <format dxfId="699">
      <pivotArea dataOnly="0" labelOnly="1" grandRow="1" outline="0" fieldPosition="0"/>
    </format>
    <format dxfId="698">
      <pivotArea grandRow="1"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Dept wise Attrition"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8">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9">
    <format dxfId="697">
      <pivotArea field="4" type="button" dataOnly="0" labelOnly="1" outline="0" axis="axisRow" fieldPosition="0"/>
    </format>
    <format dxfId="696">
      <pivotArea dataOnly="0" labelOnly="1" outline="0" axis="axisValues" fieldPosition="0"/>
    </format>
    <format dxfId="695">
      <pivotArea dataOnly="0" labelOnly="1" grandRow="1" outline="0" fieldPosition="0"/>
    </format>
    <format dxfId="694">
      <pivotArea grandRow="1" outline="0" collapsedLevelsAreSubtotals="1" fieldPosition="0"/>
    </format>
    <format dxfId="693">
      <pivotArea dataOnly="0" labelOnly="1" outline="0" axis="axisValues" fieldPosition="0"/>
    </format>
    <format dxfId="692">
      <pivotArea field="4" type="button" dataOnly="0" labelOnly="1" outline="0" axis="axisRow" fieldPosition="0"/>
    </format>
    <format dxfId="691">
      <pivotArea dataOnly="0" labelOnly="1" grandRow="1" outline="0" fieldPosition="0"/>
    </format>
    <format dxfId="690">
      <pivotArea grandRow="1" outline="0" collapsedLevelsAreSubtotals="1" fieldPosition="0"/>
    </format>
    <format dxfId="689">
      <pivotArea outline="0" fieldPosition="0">
        <references count="1">
          <reference field="4294967294" count="1">
            <x v="0"/>
          </reference>
        </references>
      </pivotArea>
    </format>
  </format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Attrition by Age group"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4">
    <format dxfId="688">
      <pivotArea field="2" type="button" dataOnly="0" labelOnly="1" outline="0" axis="axisRow" fieldPosition="0"/>
    </format>
    <format dxfId="687">
      <pivotArea dataOnly="0" labelOnly="1" outline="0" axis="axisValues" fieldPosition="0"/>
    </format>
    <format dxfId="686">
      <pivotArea grandRow="1" outline="0" collapsedLevelsAreSubtotals="1" fieldPosition="0"/>
    </format>
    <format dxfId="685">
      <pivotArea dataOnly="0" grandRow="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Marital Status"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2">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formats count="4">
    <format dxfId="684">
      <pivotArea field="10" type="button" dataOnly="0" labelOnly="1" outline="0" axis="axisRow" fieldPosition="0"/>
    </format>
    <format dxfId="683">
      <pivotArea dataOnly="0" labelOnly="1" outline="0" axis="axisValues" fieldPosition="0"/>
    </format>
    <format dxfId="682">
      <pivotArea grandRow="1" outline="0" collapsedLevelsAreSubtotals="1" fieldPosition="0"/>
    </format>
    <format dxfId="681">
      <pivotArea dataOnly="0" grandRow="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0000000-0013-0000-FFFF-FFFF02000000}" sourceName="Gender">
  <pivotTables>
    <pivotTable tabId="14" name="PivotTable1"/>
  </pivotTables>
  <data>
    <tabular pivotCacheId="2">
      <items count="3">
        <i x="0" s="1"/>
        <i x="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0000000-0013-0000-FFFF-FFFF03000000}" sourceName="Education Field">
  <pivotTables>
    <pivotTable tabId="14" name="PivotTable1"/>
  </pivotTables>
  <data>
    <tabular pivotCacheId="2">
      <items count="7">
        <i x="5"/>
        <i x="0"/>
        <i x="3" s="1"/>
        <i x="2"/>
        <i x="1"/>
        <i x="4"/>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0000000-0013-0000-FFFF-FFFF04000000}" sourceName="Gender">
  <pivotTables>
    <pivotTable tabId="16" name="Gender"/>
    <pivotTable tabId="21" name="Attrition by Age group"/>
    <pivotTable tabId="18" name="Attrition by Job"/>
    <pivotTable tabId="20" name="Dept wise Attrition"/>
    <pivotTable tabId="17" name="Education by Attrition"/>
    <pivotTable tabId="13" name="KPI"/>
    <pivotTable tabId="22" name="Marital Status"/>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0CBB8CA-8335-48CE-93CD-F0CC961CD186}" sourceName="Department">
  <pivotTables>
    <pivotTable tabId="21" name="Attrition by Age group"/>
    <pivotTable tabId="18" name="Attrition by Job"/>
    <pivotTable tabId="20" name="Dept wise Attrition"/>
    <pivotTable tabId="17" name="Education by Attrition"/>
    <pivotTable tabId="16" name="Gender"/>
    <pivotTable tabId="13" name="KPI"/>
    <pivotTable tabId="22" name="Marital Status"/>
  </pivotTables>
  <data>
    <tabular pivotCacheId="1">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04517A7-309D-4C16-B9BF-7AE85FCF438E}" sourceName="Education Field">
  <pivotTables>
    <pivotTable tabId="21" name="Attrition by Age group"/>
    <pivotTable tabId="18" name="Attrition by Job"/>
    <pivotTable tabId="20" name="Dept wise Attrition"/>
    <pivotTable tabId="17" name="Education by Attrition"/>
    <pivotTable tabId="16" name="Gender"/>
    <pivotTable tabId="13" name="KPI"/>
    <pivotTable tabId="22" name="Marital Status"/>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2"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2000000}" cache="Slicer_Gender1" caption="Gender" rowHeight="257175"/>
  <slicer name="Education Field" xr10:uid="{00000000-0014-0000-FFFF-FFFF03000000}" cache="Slicer_Education_Field"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0000000-0014-0000-FFFF-FFFF04000000}" cache="Slicer_Gender2" caption="Gender" rowHeight="257175"/>
  <slicer name="Education Field 1" xr10:uid="{00000000-0014-0000-FFFF-FFFF05000000}"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3C5982F-5236-425B-B458-AD3CB73FDE25}" cache="Slicer_Department" caption="Department" rowHeight="257175"/>
  <slicer name="Education Field 2" xr10:uid="{1CD5AE95-174A-4CE1-948B-9640279E538A}" cache="Slicer_Education_Field2" caption="Education Field"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9F32B90D-44C5-4A74-82F5-C9B7272C8838}" cache="Slicer_Gender2" caption="Gender" columnCount="2" style="Slicer " rowHeight="257175"/>
  <slicer name="Department 1" xr10:uid="{92B4132B-1559-43DE-A550-0CF070502AEB}" cache="Slicer_Department" style="Slicer " rowHeight="257175"/>
  <slicer name="Education Field 3" xr10:uid="{2E11A324-F33F-4017-8720-B56AF50CBACE}" cache="Slicer_Education_Field2" style="Slicer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3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8"/>
  <sheetViews>
    <sheetView workbookViewId="0">
      <selection activeCell="E8" sqref="E8"/>
    </sheetView>
  </sheetViews>
  <sheetFormatPr defaultRowHeight="15.75" x14ac:dyDescent="0.5"/>
  <cols>
    <col min="1" max="1" width="23.625" bestFit="1" customWidth="1"/>
    <col min="2" max="2" width="21.9375" bestFit="1" customWidth="1"/>
    <col min="3" max="3" width="13.0625" customWidth="1"/>
    <col min="4" max="4" width="14.9375" customWidth="1"/>
    <col min="5" max="5" width="11.5625" customWidth="1"/>
  </cols>
  <sheetData>
    <row r="3" spans="1:5" x14ac:dyDescent="0.5">
      <c r="A3" s="15" t="s">
        <v>384</v>
      </c>
      <c r="B3" s="25" t="s">
        <v>383</v>
      </c>
      <c r="C3" s="26" t="s">
        <v>385</v>
      </c>
    </row>
    <row r="4" spans="1:5" x14ac:dyDescent="0.5">
      <c r="A4" s="22">
        <v>299</v>
      </c>
      <c r="B4" s="23">
        <v>48</v>
      </c>
      <c r="C4" s="24">
        <v>37.301003344481607</v>
      </c>
    </row>
    <row r="7" spans="1:5" x14ac:dyDescent="0.5">
      <c r="A7" s="2" t="s">
        <v>386</v>
      </c>
      <c r="B7" s="2" t="s">
        <v>387</v>
      </c>
      <c r="C7" s="2" t="s">
        <v>388</v>
      </c>
      <c r="D7" s="2" t="s">
        <v>389</v>
      </c>
      <c r="E7" s="2" t="s">
        <v>390</v>
      </c>
    </row>
    <row r="8" spans="1:5" x14ac:dyDescent="0.5">
      <c r="A8">
        <f>A4</f>
        <v>299</v>
      </c>
      <c r="B8">
        <f>B4</f>
        <v>48</v>
      </c>
      <c r="C8" s="4">
        <f>C4</f>
        <v>37.301003344481607</v>
      </c>
      <c r="D8">
        <f>A8-B8</f>
        <v>251</v>
      </c>
      <c r="E8" s="3">
        <f>B8/A8</f>
        <v>0.16053511705685619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3"/>
  <sheetViews>
    <sheetView workbookViewId="0">
      <selection activeCell="B9" sqref="B9"/>
    </sheetView>
  </sheetViews>
  <sheetFormatPr defaultRowHeight="15.75" x14ac:dyDescent="0.5"/>
  <cols>
    <col min="1" max="1" width="22.75" bestFit="1" customWidth="1"/>
  </cols>
  <sheetData>
    <row r="3" spans="1:5" x14ac:dyDescent="0.5">
      <c r="A3" s="6" t="s">
        <v>391</v>
      </c>
      <c r="E3">
        <f>GETPIVOTDATA("Job Satisfaction",$A$3)</f>
        <v>2.6875</v>
      </c>
    </row>
    <row r="4" spans="1:5" x14ac:dyDescent="0.5">
      <c r="A4" s="8">
        <v>2.6875</v>
      </c>
    </row>
    <row r="6" spans="1:5" x14ac:dyDescent="0.5">
      <c r="A6" t="s">
        <v>392</v>
      </c>
      <c r="B6" s="7">
        <f>E3</f>
        <v>2.6875</v>
      </c>
      <c r="C6">
        <f>B6/4</f>
        <v>0.671875</v>
      </c>
    </row>
    <row r="7" spans="1:5" x14ac:dyDescent="0.5">
      <c r="A7" t="s">
        <v>393</v>
      </c>
      <c r="B7" s="7">
        <f>4-B6</f>
        <v>1.3125</v>
      </c>
      <c r="C7">
        <f>B7/4</f>
        <v>0.328125</v>
      </c>
    </row>
    <row r="12" spans="1:5" x14ac:dyDescent="0.5">
      <c r="A12" s="6"/>
    </row>
    <row r="13" spans="1:5" x14ac:dyDescent="0.5">
      <c r="A13"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9"/>
  <sheetViews>
    <sheetView workbookViewId="0">
      <selection activeCell="B8" sqref="B8"/>
    </sheetView>
  </sheetViews>
  <sheetFormatPr defaultRowHeight="15.75" x14ac:dyDescent="0.5"/>
  <cols>
    <col min="1" max="1" width="11.8125" bestFit="1" customWidth="1"/>
    <col min="2" max="2" width="21.8125" bestFit="1" customWidth="1"/>
  </cols>
  <sheetData>
    <row r="3" spans="1:3" x14ac:dyDescent="0.5">
      <c r="A3" s="15" t="s">
        <v>394</v>
      </c>
      <c r="B3" s="16" t="s">
        <v>396</v>
      </c>
    </row>
    <row r="4" spans="1:3" x14ac:dyDescent="0.5">
      <c r="A4" s="11" t="s">
        <v>51</v>
      </c>
      <c r="B4" s="12">
        <v>115</v>
      </c>
    </row>
    <row r="5" spans="1:3" x14ac:dyDescent="0.5">
      <c r="A5" s="13" t="s">
        <v>62</v>
      </c>
      <c r="B5" s="14">
        <v>184</v>
      </c>
    </row>
    <row r="6" spans="1:3" x14ac:dyDescent="0.5">
      <c r="A6" s="18" t="s">
        <v>395</v>
      </c>
      <c r="B6" s="17">
        <v>299</v>
      </c>
    </row>
    <row r="8" spans="1:3" x14ac:dyDescent="0.5">
      <c r="A8" t="s">
        <v>51</v>
      </c>
      <c r="B8">
        <f>IFERROR(GETPIVOTDATA("Employee Count",$A$3,"Gender","Female"),0)</f>
        <v>115</v>
      </c>
      <c r="C8" s="9">
        <f>IFERROR(B8/($B$8+$B$9),0)</f>
        <v>0.38461538461538464</v>
      </c>
    </row>
    <row r="9" spans="1:3" x14ac:dyDescent="0.5">
      <c r="A9" t="s">
        <v>62</v>
      </c>
      <c r="B9">
        <f>IFERROR(GETPIVOTDATA("Employee Count",$A$3,"Gender","Male"),0)</f>
        <v>184</v>
      </c>
      <c r="C9" s="9">
        <f>IFERROR(B9/($B$8+$B$9),0)</f>
        <v>0.61538461538461542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K11" sqref="K11"/>
    </sheetView>
  </sheetViews>
  <sheetFormatPr defaultRowHeight="15.75" x14ac:dyDescent="0.5"/>
  <cols>
    <col min="1" max="1" width="15.6875" bestFit="1" customWidth="1"/>
    <col min="2" max="2" width="21.9375" bestFit="1" customWidth="1"/>
  </cols>
  <sheetData>
    <row r="3" spans="1:2" x14ac:dyDescent="0.5">
      <c r="A3" s="15" t="s">
        <v>394</v>
      </c>
      <c r="B3" s="16" t="s">
        <v>383</v>
      </c>
    </row>
    <row r="4" spans="1:2" x14ac:dyDescent="0.5">
      <c r="A4" s="11" t="s">
        <v>134</v>
      </c>
      <c r="B4" s="12">
        <v>0</v>
      </c>
    </row>
    <row r="5" spans="1:2" x14ac:dyDescent="0.5">
      <c r="A5" s="13" t="s">
        <v>65</v>
      </c>
      <c r="B5" s="14">
        <v>6</v>
      </c>
    </row>
    <row r="6" spans="1:2" x14ac:dyDescent="0.5">
      <c r="A6" s="13" t="s">
        <v>55</v>
      </c>
      <c r="B6" s="14">
        <v>9</v>
      </c>
    </row>
    <row r="7" spans="1:2" x14ac:dyDescent="0.5">
      <c r="A7" s="13" t="s">
        <v>71</v>
      </c>
      <c r="B7" s="14">
        <v>13</v>
      </c>
    </row>
    <row r="8" spans="1:2" x14ac:dyDescent="0.5">
      <c r="A8" s="13" t="s">
        <v>77</v>
      </c>
      <c r="B8" s="14">
        <v>20</v>
      </c>
    </row>
    <row r="9" spans="1:2" x14ac:dyDescent="0.5">
      <c r="A9" s="18" t="s">
        <v>395</v>
      </c>
      <c r="B9" s="17">
        <v>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3"/>
  <sheetViews>
    <sheetView workbookViewId="0">
      <selection activeCell="D4" sqref="D4:E12"/>
    </sheetView>
  </sheetViews>
  <sheetFormatPr defaultRowHeight="15.75" x14ac:dyDescent="0.5"/>
  <cols>
    <col min="1" max="1" width="22.5" bestFit="1" customWidth="1"/>
    <col min="2" max="2" width="21.9375" bestFit="1" customWidth="1"/>
    <col min="4" max="4" width="22.5625" customWidth="1"/>
  </cols>
  <sheetData>
    <row r="3" spans="1:5" x14ac:dyDescent="0.5">
      <c r="A3" s="15" t="s">
        <v>394</v>
      </c>
      <c r="B3" s="16" t="s">
        <v>383</v>
      </c>
      <c r="D3" t="s">
        <v>9</v>
      </c>
      <c r="E3" t="s">
        <v>0</v>
      </c>
    </row>
    <row r="4" spans="1:5" x14ac:dyDescent="0.5">
      <c r="A4" s="11" t="s">
        <v>83</v>
      </c>
      <c r="B4" s="12">
        <v>2</v>
      </c>
      <c r="D4" t="str">
        <f>A4</f>
        <v>Healthcare Representative</v>
      </c>
      <c r="E4">
        <f>GETPIVOTDATA("CF_attrition count",$A$3,"Job Role",A4)</f>
        <v>2</v>
      </c>
    </row>
    <row r="5" spans="1:5" x14ac:dyDescent="0.5">
      <c r="A5" s="13" t="s">
        <v>163</v>
      </c>
      <c r="B5" s="14">
        <v>1</v>
      </c>
      <c r="D5" t="str">
        <f t="shared" ref="D5:D12" si="0">A5</f>
        <v>Human Resources</v>
      </c>
      <c r="E5">
        <f t="shared" ref="E5:E12" si="1">GETPIVOTDATA("CF_attrition count",$A$3,"Job Role",A5)</f>
        <v>1</v>
      </c>
    </row>
    <row r="6" spans="1:5" x14ac:dyDescent="0.5">
      <c r="A6" s="13" t="s">
        <v>68</v>
      </c>
      <c r="B6" s="14">
        <v>17</v>
      </c>
      <c r="D6" t="str">
        <f t="shared" si="0"/>
        <v>Laboratory Technician</v>
      </c>
      <c r="E6">
        <f t="shared" si="1"/>
        <v>17</v>
      </c>
    </row>
    <row r="7" spans="1:5" x14ac:dyDescent="0.5">
      <c r="A7" s="13" t="s">
        <v>95</v>
      </c>
      <c r="B7" s="14">
        <v>1</v>
      </c>
      <c r="D7" t="str">
        <f t="shared" si="0"/>
        <v>Manager</v>
      </c>
      <c r="E7">
        <f t="shared" si="1"/>
        <v>1</v>
      </c>
    </row>
    <row r="8" spans="1:5" x14ac:dyDescent="0.5">
      <c r="A8" s="13" t="s">
        <v>81</v>
      </c>
      <c r="B8" s="14">
        <v>3</v>
      </c>
      <c r="D8" t="str">
        <f t="shared" si="0"/>
        <v>Manufacturing Director</v>
      </c>
      <c r="E8">
        <f t="shared" si="1"/>
        <v>3</v>
      </c>
    </row>
    <row r="9" spans="1:5" x14ac:dyDescent="0.5">
      <c r="A9" s="13" t="s">
        <v>101</v>
      </c>
      <c r="B9" s="14">
        <v>1</v>
      </c>
      <c r="D9" t="str">
        <f t="shared" si="0"/>
        <v>Research Director</v>
      </c>
      <c r="E9">
        <f>GETPIVOTDATA("CF_attrition count",$A$3,"Job Role",A9)</f>
        <v>1</v>
      </c>
    </row>
    <row r="10" spans="1:5" x14ac:dyDescent="0.5">
      <c r="A10" s="13" t="s">
        <v>63</v>
      </c>
      <c r="B10" s="14">
        <v>8</v>
      </c>
      <c r="D10" t="str">
        <f t="shared" si="0"/>
        <v>Research Scientist</v>
      </c>
      <c r="E10">
        <f t="shared" si="1"/>
        <v>8</v>
      </c>
    </row>
    <row r="11" spans="1:5" x14ac:dyDescent="0.5">
      <c r="A11" s="13" t="s">
        <v>52</v>
      </c>
      <c r="B11" s="14">
        <v>9</v>
      </c>
      <c r="D11" t="str">
        <f t="shared" si="0"/>
        <v>Sales Executive</v>
      </c>
      <c r="E11">
        <f t="shared" si="1"/>
        <v>9</v>
      </c>
    </row>
    <row r="12" spans="1:5" x14ac:dyDescent="0.5">
      <c r="A12" s="13" t="s">
        <v>99</v>
      </c>
      <c r="B12" s="14">
        <v>6</v>
      </c>
      <c r="D12" t="str">
        <f t="shared" si="0"/>
        <v>Sales Representative</v>
      </c>
      <c r="E12">
        <f t="shared" si="1"/>
        <v>6</v>
      </c>
    </row>
    <row r="13" spans="1:5" x14ac:dyDescent="0.5">
      <c r="A13" s="18" t="s">
        <v>395</v>
      </c>
      <c r="B13" s="17">
        <v>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activeCell="L12" sqref="L12"/>
    </sheetView>
  </sheetViews>
  <sheetFormatPr defaultRowHeight="15.75" x14ac:dyDescent="0.5"/>
  <cols>
    <col min="1" max="1" width="11.8125" bestFit="1" customWidth="1"/>
    <col min="2" max="2" width="21.9375" bestFit="1" customWidth="1"/>
  </cols>
  <sheetData>
    <row r="3" spans="1:2" x14ac:dyDescent="0.5">
      <c r="A3" s="15" t="s">
        <v>394</v>
      </c>
      <c r="B3" s="16" t="s">
        <v>383</v>
      </c>
    </row>
    <row r="4" spans="1:2" x14ac:dyDescent="0.5">
      <c r="A4" s="11" t="s">
        <v>161</v>
      </c>
      <c r="B4" s="19">
        <v>2.0833333333333332E-2</v>
      </c>
    </row>
    <row r="5" spans="1:2" x14ac:dyDescent="0.5">
      <c r="A5" s="13" t="s">
        <v>60</v>
      </c>
      <c r="B5" s="20">
        <v>0.66666666666666663</v>
      </c>
    </row>
    <row r="6" spans="1:2" x14ac:dyDescent="0.5">
      <c r="A6" s="13" t="s">
        <v>48</v>
      </c>
      <c r="B6" s="20">
        <v>0.3125</v>
      </c>
    </row>
    <row r="7" spans="1:2" x14ac:dyDescent="0.5">
      <c r="A7" s="18" t="s">
        <v>395</v>
      </c>
      <c r="B7" s="2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9"/>
  <sheetViews>
    <sheetView workbookViewId="0">
      <selection activeCell="B6" sqref="B6"/>
    </sheetView>
  </sheetViews>
  <sheetFormatPr defaultRowHeight="15.75" x14ac:dyDescent="0.5"/>
  <cols>
    <col min="1" max="1" width="11.8125" bestFit="1" customWidth="1"/>
    <col min="2" max="2" width="21.9375" bestFit="1" customWidth="1"/>
  </cols>
  <sheetData>
    <row r="3" spans="1:2" x14ac:dyDescent="0.5">
      <c r="A3" s="15" t="s">
        <v>394</v>
      </c>
      <c r="B3" s="16" t="s">
        <v>383</v>
      </c>
    </row>
    <row r="4" spans="1:2" x14ac:dyDescent="0.5">
      <c r="A4" s="11" t="s">
        <v>69</v>
      </c>
      <c r="B4" s="12">
        <v>23</v>
      </c>
    </row>
    <row r="5" spans="1:2" x14ac:dyDescent="0.5">
      <c r="A5" s="13" t="s">
        <v>46</v>
      </c>
      <c r="B5" s="14">
        <v>12</v>
      </c>
    </row>
    <row r="6" spans="1:2" x14ac:dyDescent="0.5">
      <c r="A6" s="13" t="s">
        <v>92</v>
      </c>
      <c r="B6" s="14">
        <v>6</v>
      </c>
    </row>
    <row r="7" spans="1:2" x14ac:dyDescent="0.5">
      <c r="A7" s="13" t="s">
        <v>58</v>
      </c>
      <c r="B7" s="14">
        <v>5</v>
      </c>
    </row>
    <row r="8" spans="1:2" x14ac:dyDescent="0.5">
      <c r="A8" s="13" t="s">
        <v>75</v>
      </c>
      <c r="B8" s="14">
        <v>2</v>
      </c>
    </row>
    <row r="9" spans="1:2" x14ac:dyDescent="0.5">
      <c r="A9" s="18" t="s">
        <v>395</v>
      </c>
      <c r="B9" s="17">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7"/>
  <sheetViews>
    <sheetView workbookViewId="0">
      <selection activeCell="F11" sqref="F11"/>
    </sheetView>
  </sheetViews>
  <sheetFormatPr defaultRowHeight="15.75" x14ac:dyDescent="0.5"/>
  <cols>
    <col min="1" max="1" width="11.8125" bestFit="1" customWidth="1"/>
    <col min="2" max="2" width="15.1875" bestFit="1" customWidth="1"/>
    <col min="4" max="4" width="12.0625" customWidth="1"/>
  </cols>
  <sheetData>
    <row r="3" spans="1:5" x14ac:dyDescent="0.5">
      <c r="A3" s="15" t="s">
        <v>394</v>
      </c>
      <c r="B3" s="16" t="s">
        <v>397</v>
      </c>
      <c r="D3" t="s">
        <v>10</v>
      </c>
      <c r="E3" t="s">
        <v>0</v>
      </c>
    </row>
    <row r="4" spans="1:5" x14ac:dyDescent="0.5">
      <c r="A4" s="11" t="s">
        <v>79</v>
      </c>
      <c r="B4" s="12">
        <v>71</v>
      </c>
      <c r="D4" t="str">
        <f>A4</f>
        <v>Divorced</v>
      </c>
      <c r="E4">
        <f>GETPIVOTDATA("Attrition",$A$3,"Marital Status",A4)</f>
        <v>71</v>
      </c>
    </row>
    <row r="5" spans="1:5" x14ac:dyDescent="0.5">
      <c r="A5" s="13" t="s">
        <v>53</v>
      </c>
      <c r="B5" s="14">
        <v>102</v>
      </c>
      <c r="D5" t="str">
        <f t="shared" ref="D5:D6" si="0">A5</f>
        <v>Single</v>
      </c>
      <c r="E5">
        <f t="shared" ref="E5:E6" si="1">GETPIVOTDATA("Attrition",$A$3,"Marital Status",A5)</f>
        <v>102</v>
      </c>
    </row>
    <row r="6" spans="1:5" x14ac:dyDescent="0.5">
      <c r="A6" s="13" t="s">
        <v>64</v>
      </c>
      <c r="B6" s="14">
        <v>126</v>
      </c>
      <c r="D6" t="str">
        <f t="shared" si="0"/>
        <v>Married</v>
      </c>
      <c r="E6">
        <f t="shared" si="1"/>
        <v>126</v>
      </c>
    </row>
    <row r="7" spans="1:5" x14ac:dyDescent="0.5">
      <c r="A7" s="18" t="s">
        <v>395</v>
      </c>
      <c r="B7" s="17">
        <v>299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471"/>
  <sheetViews>
    <sheetView topLeftCell="A2" zoomScale="85" zoomScaleNormal="85" workbookViewId="0">
      <selection activeCell="D15" sqref="D15"/>
    </sheetView>
  </sheetViews>
  <sheetFormatPr defaultColWidth="11.25" defaultRowHeight="15" customHeight="1" x14ac:dyDescent="0.5"/>
  <cols>
    <col min="1" max="1" width="9.75" customWidth="1"/>
    <col min="2" max="2" width="15.4375" customWidth="1"/>
    <col min="3" max="3" width="13.3125" customWidth="1"/>
    <col min="4" max="4" width="17.5625" customWidth="1"/>
    <col min="5" max="5" width="12.75" customWidth="1"/>
    <col min="6" max="6" width="15.4375" customWidth="1"/>
    <col min="7" max="7" width="9" customWidth="1"/>
    <col min="8" max="8" width="18.125" customWidth="1"/>
    <col min="9" max="9" width="8.5625" customWidth="1"/>
    <col min="10" max="10" width="23.3125" customWidth="1"/>
    <col min="11" max="11" width="14.4375" customWidth="1"/>
    <col min="12" max="12" width="11.25" customWidth="1"/>
    <col min="13" max="13" width="8.5625" customWidth="1"/>
    <col min="14" max="14" width="22.75" customWidth="1"/>
    <col min="15" max="17" width="8.5625" customWidth="1"/>
    <col min="18" max="18" width="17.875" customWidth="1"/>
    <col min="19" max="19" width="18.6875" customWidth="1"/>
    <col min="20" max="20" width="16.4375" customWidth="1"/>
    <col min="21" max="21" width="20.4375" customWidth="1"/>
    <col min="22" max="22" width="11.125" customWidth="1"/>
    <col min="23" max="23" width="20.125" customWidth="1"/>
    <col min="24" max="24" width="16" customWidth="1"/>
    <col min="25" max="25" width="16.4375" customWidth="1"/>
    <col min="26" max="26" width="23.5625" customWidth="1"/>
    <col min="27" max="27" width="12.4375" customWidth="1"/>
    <col min="28" max="28" width="16.4375" customWidth="1"/>
    <col min="29" max="29" width="10.25" customWidth="1"/>
    <col min="30" max="30" width="15.6875" customWidth="1"/>
    <col min="31" max="31" width="16.3125" customWidth="1"/>
    <col min="32" max="32" width="14" customWidth="1"/>
    <col min="33" max="33" width="23.5625" customWidth="1"/>
    <col min="34" max="34" width="18.75" customWidth="1"/>
    <col min="35" max="35" width="19.125" customWidth="1"/>
    <col min="36" max="36" width="23.3125" customWidth="1"/>
    <col min="37" max="37" width="15.6875" customWidth="1"/>
    <col min="38" max="38" width="18.25" customWidth="1"/>
    <col min="39" max="39" width="19.4375" customWidth="1"/>
    <col min="40" max="40" width="17.5625" customWidth="1"/>
    <col min="41" max="41" width="17.875" customWidth="1"/>
    <col min="42" max="42" width="20.3125" customWidth="1"/>
    <col min="43" max="43" width="25.25" customWidth="1"/>
    <col min="44" max="44" width="23.6875" customWidth="1"/>
  </cols>
  <sheetData>
    <row r="1" spans="1:44" ht="15" customHeigh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x14ac:dyDescent="0.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x14ac:dyDescent="0.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x14ac:dyDescent="0.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x14ac:dyDescent="0.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x14ac:dyDescent="0.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x14ac:dyDescent="0.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x14ac:dyDescent="0.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x14ac:dyDescent="0.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x14ac:dyDescent="0.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x14ac:dyDescent="0.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x14ac:dyDescent="0.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x14ac:dyDescent="0.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x14ac:dyDescent="0.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x14ac:dyDescent="0.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x14ac:dyDescent="0.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x14ac:dyDescent="0.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x14ac:dyDescent="0.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x14ac:dyDescent="0.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x14ac:dyDescent="0.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x14ac:dyDescent="0.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x14ac:dyDescent="0.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x14ac:dyDescent="0.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x14ac:dyDescent="0.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x14ac:dyDescent="0.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x14ac:dyDescent="0.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x14ac:dyDescent="0.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1:44" ht="15.75" x14ac:dyDescent="0.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1:44" ht="15.75" x14ac:dyDescent="0.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1:44" ht="15.75" x14ac:dyDescent="0.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1:44" ht="15.75" x14ac:dyDescent="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1:44" ht="15.75" x14ac:dyDescent="0.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1:44" ht="15.75" x14ac:dyDescent="0.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1:44" ht="15.75" x14ac:dyDescent="0.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1:44" ht="15.75" x14ac:dyDescent="0.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1:44" ht="15.75" x14ac:dyDescent="0.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1:44" ht="15.75" x14ac:dyDescent="0.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1:44" ht="15.75" x14ac:dyDescent="0.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1:44" ht="15.75" x14ac:dyDescent="0.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1:44" ht="15.75" x14ac:dyDescent="0.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1:44" ht="15.75" x14ac:dyDescent="0.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1:44" ht="15.75" x14ac:dyDescent="0.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1:44" ht="15.75" x14ac:dyDescent="0.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1:44" ht="15.75" x14ac:dyDescent="0.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1:44" ht="15.75" x14ac:dyDescent="0.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1:44" ht="15.75" x14ac:dyDescent="0.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1:44" ht="15.75" x14ac:dyDescent="0.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1:44" ht="15.75" x14ac:dyDescent="0.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1:44" ht="15.75" x14ac:dyDescent="0.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1:44" ht="15.75" x14ac:dyDescent="0.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1:44" ht="15.75" x14ac:dyDescent="0.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1:44" ht="15.75" x14ac:dyDescent="0.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1:44" ht="15.75" x14ac:dyDescent="0.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1:44" ht="15.75" x14ac:dyDescent="0.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1:44" ht="15.75" x14ac:dyDescent="0.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1:44" ht="15.75" x14ac:dyDescent="0.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1:44" ht="15.75" x14ac:dyDescent="0.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1:44" ht="15.75" x14ac:dyDescent="0.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1:44" ht="15.75" x14ac:dyDescent="0.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1:44" ht="15.75" x14ac:dyDescent="0.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1:44" ht="15.75" x14ac:dyDescent="0.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1:44" ht="15.75" x14ac:dyDescent="0.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1:44" ht="15.75" x14ac:dyDescent="0.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1:44" ht="15.75" x14ac:dyDescent="0.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1:44" ht="15.75" x14ac:dyDescent="0.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1:44" ht="15.75" x14ac:dyDescent="0.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1:44" ht="15.75" x14ac:dyDescent="0.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1:44" ht="15.75" x14ac:dyDescent="0.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1:44" ht="15.75" x14ac:dyDescent="0.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1:44" ht="15.75" x14ac:dyDescent="0.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1:44" ht="15.75" x14ac:dyDescent="0.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1:44" ht="15.75" x14ac:dyDescent="0.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1:44" ht="15.75" x14ac:dyDescent="0.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1:44" ht="15.75" x14ac:dyDescent="0.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1:44" ht="15.75" x14ac:dyDescent="0.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1:44" ht="15.75" x14ac:dyDescent="0.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1:44" ht="15.75" x14ac:dyDescent="0.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1:44" ht="15.75" x14ac:dyDescent="0.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1:44" ht="15.75" x14ac:dyDescent="0.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1:44" ht="15.75" x14ac:dyDescent="0.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1:44" ht="15.75" x14ac:dyDescent="0.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1:44" ht="15.75" x14ac:dyDescent="0.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1:44" ht="15.75" x14ac:dyDescent="0.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1:44" ht="15.75" x14ac:dyDescent="0.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1:44" ht="15.75" x14ac:dyDescent="0.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1:44" ht="15.75" x14ac:dyDescent="0.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1:44" ht="15.75" x14ac:dyDescent="0.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1:44" ht="15.75" x14ac:dyDescent="0.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1:44" ht="15.75" x14ac:dyDescent="0.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1:44" ht="15.75" x14ac:dyDescent="0.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spans="1:44" ht="15.75" x14ac:dyDescent="0.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spans="1:44" ht="15.75" x14ac:dyDescent="0.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spans="1:44" ht="15.75" x14ac:dyDescent="0.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spans="1:44" ht="15.75" x14ac:dyDescent="0.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spans="1:44" ht="15.75" x14ac:dyDescent="0.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spans="1:44" ht="15.75" x14ac:dyDescent="0.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spans="1:44" ht="15.75" x14ac:dyDescent="0.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spans="1:44" ht="15.75" x14ac:dyDescent="0.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spans="1:44" ht="15.75" x14ac:dyDescent="0.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spans="1:44" ht="15.75" x14ac:dyDescent="0.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spans="1:44" ht="15.75" x14ac:dyDescent="0.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spans="1:44" ht="15.75" x14ac:dyDescent="0.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spans="1:44" ht="15.75" x14ac:dyDescent="0.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spans="1:44" ht="15.75" x14ac:dyDescent="0.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spans="1:44" ht="15.75" x14ac:dyDescent="0.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spans="1:44" ht="15.75" x14ac:dyDescent="0.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spans="1:44" ht="15.75" x14ac:dyDescent="0.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spans="1:44" ht="15.75" x14ac:dyDescent="0.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spans="1:44" ht="15.75" x14ac:dyDescent="0.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spans="1:44" ht="15.75" x14ac:dyDescent="0.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spans="1:44" ht="15.75" x14ac:dyDescent="0.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spans="1:44" ht="15.75" x14ac:dyDescent="0.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spans="1:44" ht="15.75" x14ac:dyDescent="0.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spans="1:44" ht="15.75" x14ac:dyDescent="0.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spans="1:44" ht="15.75" x14ac:dyDescent="0.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spans="1:44" ht="15.75" x14ac:dyDescent="0.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spans="1:44" ht="15.75" x14ac:dyDescent="0.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spans="1:44" ht="15.75" x14ac:dyDescent="0.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spans="1:44" ht="15.75" x14ac:dyDescent="0.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1:44" ht="15.75" x14ac:dyDescent="0.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1:44" ht="15.75" x14ac:dyDescent="0.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1:44" ht="15.75" x14ac:dyDescent="0.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1:44" ht="15.75" x14ac:dyDescent="0.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spans="1:44" ht="15.75" x14ac:dyDescent="0.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row r="399" spans="1:44" ht="15.75" x14ac:dyDescent="0.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row>
    <row r="400" spans="1:44" ht="15.75" x14ac:dyDescent="0.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row>
    <row r="401" spans="1:44" ht="15.75" x14ac:dyDescent="0.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row>
    <row r="402" spans="1:44" ht="15.75" x14ac:dyDescent="0.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row>
    <row r="403" spans="1:44" ht="15.75" x14ac:dyDescent="0.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row>
    <row r="404" spans="1:44" ht="15.75" x14ac:dyDescent="0.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row>
    <row r="405" spans="1:44" ht="15.75" x14ac:dyDescent="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row>
    <row r="406" spans="1:44" ht="15.75" x14ac:dyDescent="0.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row>
    <row r="407" spans="1:44" ht="15.75" x14ac:dyDescent="0.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row>
    <row r="408" spans="1:44" ht="15.75" x14ac:dyDescent="0.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spans="1:44" ht="15.75" x14ac:dyDescent="0.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row>
    <row r="410" spans="1:44" ht="15.75" x14ac:dyDescent="0.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row>
    <row r="411" spans="1:44" ht="15.75" x14ac:dyDescent="0.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row>
    <row r="412" spans="1:44" ht="15.75" x14ac:dyDescent="0.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row>
    <row r="413" spans="1:44" ht="15.75" x14ac:dyDescent="0.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row>
    <row r="414" spans="1:44" ht="15.75" x14ac:dyDescent="0.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row>
    <row r="415" spans="1:44" ht="15.75" x14ac:dyDescent="0.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row>
    <row r="416" spans="1:44" ht="15.75" x14ac:dyDescent="0.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row>
    <row r="417" spans="1:44" ht="15.75" x14ac:dyDescent="0.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row>
    <row r="418" spans="1:44" ht="15.75" x14ac:dyDescent="0.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row>
    <row r="419" spans="1:44" ht="15.75" x14ac:dyDescent="0.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row>
    <row r="420" spans="1:44" ht="15.75" x14ac:dyDescent="0.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row>
    <row r="421" spans="1:44" ht="15.75" x14ac:dyDescent="0.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row>
    <row r="422" spans="1:44" ht="15.75" x14ac:dyDescent="0.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row>
    <row r="423" spans="1:44" ht="15.75" x14ac:dyDescent="0.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row>
    <row r="424" spans="1:44" ht="15.75" x14ac:dyDescent="0.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row>
    <row r="425" spans="1:44" ht="15.75" x14ac:dyDescent="0.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row>
    <row r="426" spans="1:44" ht="15.75" x14ac:dyDescent="0.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row>
    <row r="427" spans="1:44" ht="15.75" x14ac:dyDescent="0.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row>
    <row r="428" spans="1:44" ht="15.75" x14ac:dyDescent="0.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row>
    <row r="429" spans="1:44" ht="15.75" x14ac:dyDescent="0.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row>
    <row r="430" spans="1:44" ht="15.75" x14ac:dyDescent="0.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row>
    <row r="431" spans="1:44" ht="15.75" x14ac:dyDescent="0.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row>
    <row r="432" spans="1:44" ht="15.75" x14ac:dyDescent="0.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row>
    <row r="433" spans="1:44" ht="15.75" x14ac:dyDescent="0.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row>
    <row r="434" spans="1:44" ht="15.75" x14ac:dyDescent="0.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row>
    <row r="435" spans="1:44" ht="15.75" x14ac:dyDescent="0.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row>
    <row r="436" spans="1:44" ht="15.75" x14ac:dyDescent="0.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row>
    <row r="437" spans="1:44" ht="15.75" x14ac:dyDescent="0.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row>
    <row r="438" spans="1:44" ht="15.75" x14ac:dyDescent="0.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row>
    <row r="439" spans="1:44" ht="15.75" x14ac:dyDescent="0.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row>
    <row r="440" spans="1:44" ht="15.75" x14ac:dyDescent="0.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row>
    <row r="441" spans="1:44" ht="15.75" x14ac:dyDescent="0.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row>
    <row r="442" spans="1:44" ht="15.75" x14ac:dyDescent="0.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row>
    <row r="443" spans="1:44" ht="15.75" x14ac:dyDescent="0.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row>
    <row r="444" spans="1:44" ht="15.75" x14ac:dyDescent="0.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row>
    <row r="445" spans="1:44" ht="15.75" x14ac:dyDescent="0.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row>
    <row r="446" spans="1:44" ht="15.75" x14ac:dyDescent="0.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row>
    <row r="447" spans="1:44" ht="15.75" x14ac:dyDescent="0.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row>
    <row r="448" spans="1:44" ht="15.75" x14ac:dyDescent="0.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row>
    <row r="449" spans="1:44" ht="15.75" x14ac:dyDescent="0.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row>
    <row r="450" spans="1:44" ht="15.75" x14ac:dyDescent="0.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row>
    <row r="451" spans="1:44" ht="15.75" x14ac:dyDescent="0.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row>
    <row r="452" spans="1:44" ht="15.75" x14ac:dyDescent="0.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row>
    <row r="453" spans="1:44" ht="15.75" x14ac:dyDescent="0.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row>
    <row r="454" spans="1:44" ht="15.75" x14ac:dyDescent="0.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row>
    <row r="455" spans="1:44" ht="15.75" x14ac:dyDescent="0.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row>
    <row r="456" spans="1:44" ht="15.75" x14ac:dyDescent="0.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row>
    <row r="457" spans="1:44" ht="15.75" x14ac:dyDescent="0.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row>
    <row r="458" spans="1:44" ht="15.75" x14ac:dyDescent="0.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row>
    <row r="459" spans="1:44" ht="15.75" x14ac:dyDescent="0.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row>
    <row r="460" spans="1:44" ht="15.75" x14ac:dyDescent="0.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row>
    <row r="461" spans="1:44" ht="15.75" x14ac:dyDescent="0.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row>
    <row r="462" spans="1:44" ht="15.75" x14ac:dyDescent="0.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row>
    <row r="463" spans="1:44" ht="15.75" x14ac:dyDescent="0.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row>
    <row r="464" spans="1:44" ht="15.75" x14ac:dyDescent="0.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row>
    <row r="465" spans="1:44" ht="15.75" x14ac:dyDescent="0.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row>
    <row r="466" spans="1:44" ht="15.75" x14ac:dyDescent="0.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row>
    <row r="467" spans="1:44" ht="15.75" x14ac:dyDescent="0.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row>
    <row r="468" spans="1:44" ht="15.75" x14ac:dyDescent="0.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row>
    <row r="469" spans="1:44" ht="15.75" x14ac:dyDescent="0.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row>
    <row r="470" spans="1:44" ht="15.75" x14ac:dyDescent="0.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row>
    <row r="471" spans="1:44" ht="15.75" x14ac:dyDescent="0.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row>
    <row r="472" spans="1:44" ht="15.75" x14ac:dyDescent="0.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row>
    <row r="473" spans="1:44" ht="15.75" x14ac:dyDescent="0.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row>
    <row r="474" spans="1:44" ht="15.75" x14ac:dyDescent="0.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row>
    <row r="475" spans="1:44" ht="15.75" x14ac:dyDescent="0.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row>
    <row r="476" spans="1:44" ht="15.75" x14ac:dyDescent="0.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row>
    <row r="477" spans="1:44" ht="15.75" x14ac:dyDescent="0.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row>
    <row r="478" spans="1:44" ht="15.75" x14ac:dyDescent="0.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row>
    <row r="479" spans="1:44" ht="15.75" x14ac:dyDescent="0.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row>
    <row r="480" spans="1:44" ht="15.75" x14ac:dyDescent="0.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row>
    <row r="481" spans="1:44" ht="15.75" x14ac:dyDescent="0.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row>
    <row r="482" spans="1:44" ht="15.75" x14ac:dyDescent="0.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row>
    <row r="483" spans="1:44" ht="15.75" x14ac:dyDescent="0.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row>
    <row r="484" spans="1:44" ht="15.75" x14ac:dyDescent="0.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row>
    <row r="485" spans="1:44" ht="15.75" x14ac:dyDescent="0.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row>
    <row r="486" spans="1:44" ht="15.75" x14ac:dyDescent="0.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row>
    <row r="487" spans="1:44" ht="15.75" x14ac:dyDescent="0.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row>
    <row r="488" spans="1:44" ht="15.75" x14ac:dyDescent="0.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row>
    <row r="489" spans="1:44" ht="15.75" x14ac:dyDescent="0.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row>
    <row r="490" spans="1:44" ht="15.75" x14ac:dyDescent="0.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row>
    <row r="491" spans="1:44" ht="15.75" x14ac:dyDescent="0.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row>
    <row r="492" spans="1:44" ht="15.75" x14ac:dyDescent="0.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row>
    <row r="493" spans="1:44" ht="15.75" x14ac:dyDescent="0.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row>
    <row r="494" spans="1:44" ht="15.75" x14ac:dyDescent="0.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row>
    <row r="495" spans="1:44" ht="15.75" x14ac:dyDescent="0.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row>
    <row r="496" spans="1:44" ht="15.75" x14ac:dyDescent="0.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row>
    <row r="497" spans="1:44" ht="15.75" x14ac:dyDescent="0.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row>
    <row r="498" spans="1:44" ht="15.75" x14ac:dyDescent="0.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row>
    <row r="499" spans="1:44" ht="15.75" x14ac:dyDescent="0.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row>
    <row r="500" spans="1:44" ht="15.75" x14ac:dyDescent="0.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row>
    <row r="501" spans="1:44" ht="15.75" x14ac:dyDescent="0.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row>
    <row r="502" spans="1:44" ht="15.75" x14ac:dyDescent="0.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row>
    <row r="503" spans="1:44" ht="15.75" x14ac:dyDescent="0.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row>
    <row r="504" spans="1:44" ht="15.75" x14ac:dyDescent="0.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row>
    <row r="505" spans="1:44" ht="15.75" x14ac:dyDescent="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row>
    <row r="506" spans="1:44" ht="15.75" x14ac:dyDescent="0.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row>
    <row r="507" spans="1:44" ht="15.75" x14ac:dyDescent="0.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row>
    <row r="508" spans="1:44" ht="15.75" x14ac:dyDescent="0.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row>
    <row r="509" spans="1:44" ht="15.75" x14ac:dyDescent="0.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row>
    <row r="510" spans="1:44" ht="15.75" x14ac:dyDescent="0.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row>
    <row r="511" spans="1:44" ht="15.75" x14ac:dyDescent="0.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row>
    <row r="512" spans="1:44" ht="15.75" x14ac:dyDescent="0.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row>
    <row r="513" spans="1:44" ht="15.75" x14ac:dyDescent="0.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row>
    <row r="514" spans="1:44" ht="15.75" x14ac:dyDescent="0.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row>
    <row r="515" spans="1:44" ht="15.75" x14ac:dyDescent="0.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row>
    <row r="516" spans="1:44" ht="15.75" x14ac:dyDescent="0.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row>
    <row r="517" spans="1:44" ht="15.75" x14ac:dyDescent="0.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row>
    <row r="518" spans="1:44" ht="15.75" x14ac:dyDescent="0.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row>
    <row r="519" spans="1:44" ht="15.75" x14ac:dyDescent="0.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row>
    <row r="520" spans="1:44" ht="15.75" x14ac:dyDescent="0.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row>
    <row r="521" spans="1:44" ht="15.75" x14ac:dyDescent="0.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row>
    <row r="522" spans="1:44" ht="15.75" x14ac:dyDescent="0.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row>
    <row r="523" spans="1:44" ht="15.75" x14ac:dyDescent="0.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row>
    <row r="524" spans="1:44" ht="15.75" x14ac:dyDescent="0.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row>
    <row r="525" spans="1:44" ht="15.75" x14ac:dyDescent="0.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row>
    <row r="526" spans="1:44" ht="15.75" x14ac:dyDescent="0.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row>
    <row r="527" spans="1:44" ht="15.75" x14ac:dyDescent="0.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row>
    <row r="528" spans="1:44" ht="15.75" x14ac:dyDescent="0.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row>
    <row r="529" spans="1:44" ht="15.75" x14ac:dyDescent="0.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row>
    <row r="530" spans="1:44" ht="15.75" x14ac:dyDescent="0.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row>
    <row r="531" spans="1:44" ht="15.75" x14ac:dyDescent="0.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row>
    <row r="532" spans="1:44" ht="15.75" x14ac:dyDescent="0.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row>
    <row r="533" spans="1:44" ht="15.75" x14ac:dyDescent="0.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row>
    <row r="534" spans="1:44" ht="15.75" x14ac:dyDescent="0.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row>
    <row r="535" spans="1:44" ht="15.75" x14ac:dyDescent="0.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row>
    <row r="536" spans="1:44" ht="15.75" x14ac:dyDescent="0.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row>
    <row r="537" spans="1:44" ht="15.75" x14ac:dyDescent="0.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row>
    <row r="538" spans="1:44" ht="15.75" x14ac:dyDescent="0.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row>
    <row r="539" spans="1:44" ht="15.75" x14ac:dyDescent="0.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row>
    <row r="540" spans="1:44" ht="15.75" x14ac:dyDescent="0.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row>
    <row r="541" spans="1:44" ht="15.75" x14ac:dyDescent="0.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row>
    <row r="542" spans="1:44" ht="15.75" x14ac:dyDescent="0.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row>
    <row r="543" spans="1:44" ht="15.75" x14ac:dyDescent="0.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row>
    <row r="544" spans="1:44" ht="15.75" x14ac:dyDescent="0.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row>
    <row r="545" spans="1:44" ht="15.75" x14ac:dyDescent="0.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row>
    <row r="546" spans="1:44" ht="15.75" x14ac:dyDescent="0.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row>
    <row r="547" spans="1:44" ht="15.75" x14ac:dyDescent="0.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row>
    <row r="548" spans="1:44" ht="15.75" x14ac:dyDescent="0.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row>
    <row r="549" spans="1:44" ht="15.75" x14ac:dyDescent="0.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row>
    <row r="550" spans="1:44" ht="15.75" x14ac:dyDescent="0.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row>
    <row r="551" spans="1:44" ht="15.75" x14ac:dyDescent="0.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row>
    <row r="552" spans="1:44" ht="15.75" x14ac:dyDescent="0.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row>
    <row r="553" spans="1:44" ht="15.75" x14ac:dyDescent="0.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row>
    <row r="554" spans="1:44" ht="15.75" x14ac:dyDescent="0.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row>
    <row r="555" spans="1:44" ht="15.75" x14ac:dyDescent="0.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row>
    <row r="556" spans="1:44" ht="15.75" x14ac:dyDescent="0.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row>
    <row r="557" spans="1:44" ht="15.75" x14ac:dyDescent="0.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row>
    <row r="558" spans="1:44" ht="15.75" x14ac:dyDescent="0.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row>
    <row r="559" spans="1:44" ht="15.75" x14ac:dyDescent="0.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row>
    <row r="560" spans="1:44" ht="15.75" x14ac:dyDescent="0.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row>
    <row r="561" spans="1:44" ht="15.75" x14ac:dyDescent="0.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row>
    <row r="562" spans="1:44" ht="15.75" x14ac:dyDescent="0.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row>
    <row r="563" spans="1:44" ht="15.75" x14ac:dyDescent="0.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row>
    <row r="564" spans="1:44" ht="15.75" x14ac:dyDescent="0.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row>
    <row r="565" spans="1:44" ht="15.75" x14ac:dyDescent="0.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row>
    <row r="566" spans="1:44" ht="15.75" x14ac:dyDescent="0.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row>
    <row r="567" spans="1:44" ht="15.75" x14ac:dyDescent="0.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row>
    <row r="568" spans="1:44" ht="15.75" x14ac:dyDescent="0.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row>
    <row r="569" spans="1:44" ht="15.75" x14ac:dyDescent="0.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row>
    <row r="570" spans="1:44" ht="15.75" x14ac:dyDescent="0.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row>
    <row r="571" spans="1:44" ht="15.75" x14ac:dyDescent="0.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row>
    <row r="572" spans="1:44" ht="15.75" x14ac:dyDescent="0.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row>
    <row r="573" spans="1:44" ht="15.75" x14ac:dyDescent="0.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row>
    <row r="574" spans="1:44" ht="15.75" x14ac:dyDescent="0.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row>
    <row r="575" spans="1:44" ht="15.75" x14ac:dyDescent="0.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row>
    <row r="576" spans="1:44" ht="15.75" x14ac:dyDescent="0.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row>
    <row r="577" spans="1:44" ht="15.75" x14ac:dyDescent="0.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row>
    <row r="578" spans="1:44" ht="15.75" x14ac:dyDescent="0.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row>
    <row r="579" spans="1:44" ht="15.75" x14ac:dyDescent="0.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row>
    <row r="580" spans="1:44" ht="15.75" x14ac:dyDescent="0.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row>
    <row r="581" spans="1:44" ht="15.75" x14ac:dyDescent="0.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row>
    <row r="582" spans="1:44" ht="15.75" x14ac:dyDescent="0.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row>
    <row r="583" spans="1:44" ht="15.75" x14ac:dyDescent="0.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row>
    <row r="584" spans="1:44" ht="15.75" x14ac:dyDescent="0.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row>
    <row r="585" spans="1:44" ht="15.75" x14ac:dyDescent="0.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row>
    <row r="586" spans="1:44" ht="15.75" x14ac:dyDescent="0.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row>
    <row r="587" spans="1:44" ht="15.75" x14ac:dyDescent="0.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row>
    <row r="588" spans="1:44" ht="15.75" x14ac:dyDescent="0.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row>
    <row r="589" spans="1:44" ht="15.75" x14ac:dyDescent="0.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row>
    <row r="590" spans="1:44" ht="15.75" x14ac:dyDescent="0.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row>
    <row r="591" spans="1:44" ht="15.75" x14ac:dyDescent="0.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row>
    <row r="592" spans="1:44" ht="15.75" x14ac:dyDescent="0.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row>
    <row r="593" spans="1:44" ht="15.75" x14ac:dyDescent="0.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row>
    <row r="594" spans="1:44" ht="15.75" x14ac:dyDescent="0.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row>
    <row r="595" spans="1:44" ht="15.75" x14ac:dyDescent="0.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row>
    <row r="596" spans="1:44" ht="15.75" x14ac:dyDescent="0.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row>
    <row r="597" spans="1:44" ht="15.75" x14ac:dyDescent="0.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row>
    <row r="598" spans="1:44" ht="15.75" x14ac:dyDescent="0.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row>
    <row r="599" spans="1:44" ht="15.75" x14ac:dyDescent="0.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row>
    <row r="600" spans="1:44" ht="15.75" x14ac:dyDescent="0.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row>
    <row r="601" spans="1:44" ht="15.75" x14ac:dyDescent="0.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row>
    <row r="602" spans="1:44" ht="15.75" x14ac:dyDescent="0.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row>
    <row r="603" spans="1:44" ht="15.75" x14ac:dyDescent="0.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row>
    <row r="604" spans="1:44" ht="15.75" x14ac:dyDescent="0.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row>
    <row r="605" spans="1:44" ht="15.75" x14ac:dyDescent="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row>
    <row r="606" spans="1:44" ht="15.75" x14ac:dyDescent="0.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row>
    <row r="607" spans="1:44" ht="15.75" x14ac:dyDescent="0.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row>
    <row r="608" spans="1:44" ht="15.75" x14ac:dyDescent="0.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row>
    <row r="609" spans="1:44" ht="15.75" x14ac:dyDescent="0.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row>
    <row r="610" spans="1:44" ht="15.75" x14ac:dyDescent="0.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row>
    <row r="611" spans="1:44" ht="15.75" x14ac:dyDescent="0.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row>
    <row r="612" spans="1:44" ht="15.75" x14ac:dyDescent="0.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row>
    <row r="613" spans="1:44" ht="15.75" x14ac:dyDescent="0.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row>
    <row r="614" spans="1:44" ht="15.75" x14ac:dyDescent="0.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row>
    <row r="615" spans="1:44" ht="15.75" x14ac:dyDescent="0.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row>
    <row r="616" spans="1:44" ht="15.75" x14ac:dyDescent="0.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row>
    <row r="617" spans="1:44" ht="15.75" x14ac:dyDescent="0.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row>
    <row r="618" spans="1:44" ht="15.75" x14ac:dyDescent="0.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row>
    <row r="619" spans="1:44" ht="15.75" x14ac:dyDescent="0.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row>
    <row r="620" spans="1:44" ht="15.75" x14ac:dyDescent="0.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row>
    <row r="621" spans="1:44" ht="15.75" x14ac:dyDescent="0.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row>
    <row r="622" spans="1:44" ht="15.75" x14ac:dyDescent="0.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row>
    <row r="623" spans="1:44" ht="15.75" x14ac:dyDescent="0.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row>
    <row r="624" spans="1:44" ht="15.75" x14ac:dyDescent="0.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row>
    <row r="625" spans="1:44" ht="15.75" x14ac:dyDescent="0.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row>
    <row r="626" spans="1:44" ht="15.75" x14ac:dyDescent="0.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row>
    <row r="627" spans="1:44" ht="15.75" x14ac:dyDescent="0.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row>
    <row r="628" spans="1:44" ht="15.75" x14ac:dyDescent="0.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row>
    <row r="629" spans="1:44" ht="15.75" x14ac:dyDescent="0.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row>
    <row r="630" spans="1:44" ht="15.75" x14ac:dyDescent="0.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row>
    <row r="631" spans="1:44" ht="15.75" x14ac:dyDescent="0.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row>
    <row r="632" spans="1:44" ht="15.75" x14ac:dyDescent="0.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row>
    <row r="633" spans="1:44" ht="15.75" x14ac:dyDescent="0.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row>
    <row r="634" spans="1:44" ht="15.75" x14ac:dyDescent="0.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row>
    <row r="635" spans="1:44" ht="15.75" x14ac:dyDescent="0.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row>
    <row r="636" spans="1:44" ht="15.75" x14ac:dyDescent="0.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row>
    <row r="637" spans="1:44" ht="15.75" x14ac:dyDescent="0.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row>
    <row r="638" spans="1:44" ht="15.75" x14ac:dyDescent="0.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row>
    <row r="639" spans="1:44" ht="15.75" x14ac:dyDescent="0.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row>
    <row r="640" spans="1:44" ht="15.75" x14ac:dyDescent="0.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row>
    <row r="641" spans="1:44" ht="15.75" x14ac:dyDescent="0.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row>
    <row r="642" spans="1:44" ht="15.75" x14ac:dyDescent="0.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row>
    <row r="643" spans="1:44" ht="15.75" x14ac:dyDescent="0.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row>
    <row r="644" spans="1:44" ht="15.75" x14ac:dyDescent="0.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row>
    <row r="645" spans="1:44" ht="15.75" x14ac:dyDescent="0.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row>
    <row r="646" spans="1:44" ht="15.75" x14ac:dyDescent="0.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row>
    <row r="647" spans="1:44" ht="15.75" x14ac:dyDescent="0.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row>
    <row r="648" spans="1:44" ht="15.75" x14ac:dyDescent="0.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row>
    <row r="649" spans="1:44" ht="15.75" x14ac:dyDescent="0.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row>
    <row r="650" spans="1:44" ht="15.75" x14ac:dyDescent="0.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row>
    <row r="651" spans="1:44" ht="15.75" x14ac:dyDescent="0.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row>
    <row r="652" spans="1:44" ht="15.75" x14ac:dyDescent="0.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row>
    <row r="653" spans="1:44" ht="15.75" x14ac:dyDescent="0.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row>
    <row r="654" spans="1:44" ht="15.75" x14ac:dyDescent="0.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row>
    <row r="655" spans="1:44" ht="15.75" x14ac:dyDescent="0.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row>
    <row r="656" spans="1:44" ht="15.75" x14ac:dyDescent="0.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row>
    <row r="657" spans="1:44" ht="15.75" x14ac:dyDescent="0.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row>
    <row r="658" spans="1:44" ht="15.75" x14ac:dyDescent="0.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row>
    <row r="659" spans="1:44" ht="15.75" x14ac:dyDescent="0.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row>
    <row r="660" spans="1:44" ht="15.75" x14ac:dyDescent="0.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row>
    <row r="661" spans="1:44" ht="15.75" x14ac:dyDescent="0.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row>
    <row r="662" spans="1:44" ht="15.75" x14ac:dyDescent="0.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row>
    <row r="663" spans="1:44" ht="15.75" x14ac:dyDescent="0.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row>
    <row r="664" spans="1:44" ht="15.75" x14ac:dyDescent="0.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row>
    <row r="665" spans="1:44" ht="15.75" x14ac:dyDescent="0.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row>
    <row r="666" spans="1:44" ht="15.75" x14ac:dyDescent="0.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row>
    <row r="667" spans="1:44" ht="15.75" x14ac:dyDescent="0.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row>
    <row r="668" spans="1:44" ht="15.75" x14ac:dyDescent="0.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row>
    <row r="669" spans="1:44" ht="15.75" x14ac:dyDescent="0.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row>
    <row r="670" spans="1:44" ht="15.75" x14ac:dyDescent="0.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row>
    <row r="671" spans="1:44" ht="15.75" x14ac:dyDescent="0.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row>
    <row r="672" spans="1:44" ht="15.75" x14ac:dyDescent="0.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row>
    <row r="673" spans="1:44" ht="15.75" x14ac:dyDescent="0.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row>
    <row r="674" spans="1:44" ht="15.75" x14ac:dyDescent="0.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row>
    <row r="675" spans="1:44" ht="15.75" x14ac:dyDescent="0.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row>
    <row r="676" spans="1:44" ht="15.75" x14ac:dyDescent="0.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row>
    <row r="677" spans="1:44" ht="15.75" x14ac:dyDescent="0.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row>
    <row r="678" spans="1:44" ht="15.75" x14ac:dyDescent="0.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row>
    <row r="679" spans="1:44" ht="15.75" x14ac:dyDescent="0.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row>
    <row r="680" spans="1:44" ht="15.75" x14ac:dyDescent="0.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row>
    <row r="681" spans="1:44" ht="15.75" x14ac:dyDescent="0.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row>
    <row r="682" spans="1:44" ht="15.75" x14ac:dyDescent="0.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row>
    <row r="683" spans="1:44" ht="15.75" x14ac:dyDescent="0.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row>
    <row r="684" spans="1:44" ht="15.75" x14ac:dyDescent="0.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row>
    <row r="685" spans="1:44" ht="15.75" x14ac:dyDescent="0.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row>
    <row r="686" spans="1:44" ht="15.75" x14ac:dyDescent="0.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row>
    <row r="687" spans="1:44" ht="15.75" x14ac:dyDescent="0.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row>
    <row r="688" spans="1:44" ht="15.75" x14ac:dyDescent="0.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row>
    <row r="689" spans="1:44" ht="15.75" x14ac:dyDescent="0.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row>
    <row r="690" spans="1:44" ht="15.75" x14ac:dyDescent="0.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row>
    <row r="691" spans="1:44" ht="15.75" x14ac:dyDescent="0.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row>
    <row r="692" spans="1:44" ht="15.75" x14ac:dyDescent="0.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row>
    <row r="693" spans="1:44" ht="15.75" x14ac:dyDescent="0.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row>
    <row r="694" spans="1:44" ht="15.75" x14ac:dyDescent="0.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row>
    <row r="695" spans="1:44" ht="15.75" x14ac:dyDescent="0.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row>
    <row r="696" spans="1:44" ht="15.75" x14ac:dyDescent="0.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row>
    <row r="697" spans="1:44" ht="15.75" x14ac:dyDescent="0.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row>
    <row r="698" spans="1:44" ht="15.75" x14ac:dyDescent="0.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row>
    <row r="699" spans="1:44" ht="15.75" x14ac:dyDescent="0.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row>
    <row r="700" spans="1:44" ht="15.75" x14ac:dyDescent="0.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row>
    <row r="701" spans="1:44" ht="15.75" x14ac:dyDescent="0.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row>
    <row r="702" spans="1:44" ht="15.75" x14ac:dyDescent="0.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row>
    <row r="703" spans="1:44" ht="15.75" x14ac:dyDescent="0.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row>
    <row r="704" spans="1:44" ht="15.75" x14ac:dyDescent="0.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row>
    <row r="705" spans="1:44" ht="15.75" x14ac:dyDescent="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row>
    <row r="706" spans="1:44" ht="15.75" x14ac:dyDescent="0.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row>
    <row r="707" spans="1:44" ht="15.75" x14ac:dyDescent="0.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row>
    <row r="708" spans="1:44" ht="15.75" x14ac:dyDescent="0.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row>
    <row r="709" spans="1:44" ht="15.75" x14ac:dyDescent="0.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row>
    <row r="710" spans="1:44" ht="15.75" x14ac:dyDescent="0.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row>
    <row r="711" spans="1:44" ht="15.75" x14ac:dyDescent="0.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row>
    <row r="712" spans="1:44" ht="15.75" x14ac:dyDescent="0.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row>
    <row r="713" spans="1:44" ht="15.75" x14ac:dyDescent="0.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row>
    <row r="714" spans="1:44" ht="15.75" x14ac:dyDescent="0.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row>
    <row r="715" spans="1:44" ht="15.75" x14ac:dyDescent="0.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row>
    <row r="716" spans="1:44" ht="15.75" x14ac:dyDescent="0.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row>
    <row r="717" spans="1:44" ht="15.75" x14ac:dyDescent="0.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row>
    <row r="718" spans="1:44" ht="15.75" x14ac:dyDescent="0.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row>
    <row r="719" spans="1:44" ht="15.75" x14ac:dyDescent="0.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row>
    <row r="720" spans="1:44" ht="15.75" x14ac:dyDescent="0.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row>
    <row r="721" spans="1:44" ht="15.75" x14ac:dyDescent="0.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row>
    <row r="722" spans="1:44" ht="15.75" x14ac:dyDescent="0.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row>
    <row r="723" spans="1:44" ht="15.75" x14ac:dyDescent="0.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row>
    <row r="724" spans="1:44" ht="15.75" x14ac:dyDescent="0.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row>
    <row r="725" spans="1:44" ht="15.75" x14ac:dyDescent="0.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row>
    <row r="726" spans="1:44" ht="15.75" x14ac:dyDescent="0.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row>
    <row r="727" spans="1:44" ht="15.75" x14ac:dyDescent="0.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row>
    <row r="728" spans="1:44" ht="15.75" x14ac:dyDescent="0.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row>
    <row r="729" spans="1:44" ht="15.75" x14ac:dyDescent="0.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row>
    <row r="730" spans="1:44" ht="15.75" x14ac:dyDescent="0.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row>
    <row r="731" spans="1:44" ht="15.75" x14ac:dyDescent="0.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row>
    <row r="732" spans="1:44" ht="15.75" x14ac:dyDescent="0.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row>
    <row r="733" spans="1:44" ht="15.75" x14ac:dyDescent="0.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row>
    <row r="734" spans="1:44" ht="15.75" x14ac:dyDescent="0.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row>
    <row r="735" spans="1:44" ht="15.75" x14ac:dyDescent="0.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row>
    <row r="736" spans="1:44" ht="15.75" x14ac:dyDescent="0.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row>
    <row r="737" spans="1:44" ht="15.75" x14ac:dyDescent="0.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row>
    <row r="738" spans="1:44" ht="15.75" x14ac:dyDescent="0.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row>
    <row r="739" spans="1:44" ht="15.75" x14ac:dyDescent="0.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row>
    <row r="740" spans="1:44" ht="15.75" x14ac:dyDescent="0.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row>
    <row r="741" spans="1:44" ht="15.75" x14ac:dyDescent="0.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row>
    <row r="742" spans="1:44" ht="15.75" x14ac:dyDescent="0.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row>
    <row r="743" spans="1:44" ht="15.75" x14ac:dyDescent="0.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row>
    <row r="744" spans="1:44" ht="15.75" x14ac:dyDescent="0.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row>
    <row r="745" spans="1:44" ht="15.75" x14ac:dyDescent="0.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row>
    <row r="746" spans="1:44" ht="15.75" x14ac:dyDescent="0.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row>
    <row r="747" spans="1:44" ht="15.75" x14ac:dyDescent="0.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row>
    <row r="748" spans="1:44" ht="15.75" x14ac:dyDescent="0.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row>
    <row r="749" spans="1:44" ht="15.75" x14ac:dyDescent="0.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row>
    <row r="750" spans="1:44" ht="15.75" x14ac:dyDescent="0.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row>
    <row r="751" spans="1:44" ht="15.75" x14ac:dyDescent="0.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row>
    <row r="752" spans="1:44" ht="15.75" x14ac:dyDescent="0.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row>
    <row r="753" spans="1:44" ht="15.75" x14ac:dyDescent="0.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row>
    <row r="754" spans="1:44" ht="15.75" x14ac:dyDescent="0.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row>
    <row r="755" spans="1:44" ht="15.75" x14ac:dyDescent="0.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row>
    <row r="756" spans="1:44" ht="15.75" x14ac:dyDescent="0.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row>
    <row r="757" spans="1:44" ht="15.75" x14ac:dyDescent="0.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row>
    <row r="758" spans="1:44" ht="15.75" x14ac:dyDescent="0.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row>
    <row r="759" spans="1:44" ht="15.75" x14ac:dyDescent="0.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row>
    <row r="760" spans="1:44" ht="15.75" x14ac:dyDescent="0.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row>
    <row r="761" spans="1:44" ht="15.75" x14ac:dyDescent="0.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row>
    <row r="762" spans="1:44" ht="15.75" x14ac:dyDescent="0.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row>
    <row r="763" spans="1:44" ht="15.75" x14ac:dyDescent="0.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row>
    <row r="764" spans="1:44" ht="15.75" x14ac:dyDescent="0.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row>
    <row r="765" spans="1:44" ht="15.75" x14ac:dyDescent="0.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row>
    <row r="766" spans="1:44" ht="15.75" x14ac:dyDescent="0.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row>
    <row r="767" spans="1:44" ht="15.75" x14ac:dyDescent="0.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row>
    <row r="768" spans="1:44" ht="15.75" x14ac:dyDescent="0.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row>
    <row r="769" spans="1:44" ht="15.75" x14ac:dyDescent="0.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row>
    <row r="770" spans="1:44" ht="15.75" x14ac:dyDescent="0.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row>
    <row r="771" spans="1:44" ht="15.75" x14ac:dyDescent="0.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row>
    <row r="772" spans="1:44" ht="15.75" x14ac:dyDescent="0.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row>
    <row r="773" spans="1:44" ht="15.75" x14ac:dyDescent="0.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row>
    <row r="774" spans="1:44" ht="15.75" x14ac:dyDescent="0.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row>
    <row r="775" spans="1:44" ht="15.75" x14ac:dyDescent="0.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row>
    <row r="776" spans="1:44" ht="15.75" x14ac:dyDescent="0.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row>
    <row r="777" spans="1:44" ht="15.75" x14ac:dyDescent="0.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row>
    <row r="778" spans="1:44" ht="15.75" x14ac:dyDescent="0.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row>
    <row r="779" spans="1:44" ht="15.75" x14ac:dyDescent="0.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row>
    <row r="780" spans="1:44" ht="15.75" x14ac:dyDescent="0.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row>
    <row r="781" spans="1:44" ht="15.75" x14ac:dyDescent="0.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row>
    <row r="782" spans="1:44" ht="15.75" x14ac:dyDescent="0.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row>
    <row r="783" spans="1:44" ht="15.75" x14ac:dyDescent="0.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row>
    <row r="784" spans="1:44" ht="15.75" x14ac:dyDescent="0.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row>
    <row r="785" spans="1:44" ht="15.75" x14ac:dyDescent="0.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row>
    <row r="786" spans="1:44" ht="15.75" x14ac:dyDescent="0.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row>
    <row r="787" spans="1:44" ht="15.75" x14ac:dyDescent="0.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row>
    <row r="788" spans="1:44" ht="15.75" x14ac:dyDescent="0.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row>
    <row r="789" spans="1:44" ht="15.75" x14ac:dyDescent="0.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row>
    <row r="790" spans="1:44" ht="15.75" x14ac:dyDescent="0.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row>
    <row r="791" spans="1:44" ht="15.75" x14ac:dyDescent="0.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row>
    <row r="792" spans="1:44" ht="15.75" x14ac:dyDescent="0.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row>
    <row r="793" spans="1:44" ht="15.75" x14ac:dyDescent="0.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row>
    <row r="794" spans="1:44" ht="15.75" x14ac:dyDescent="0.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row>
    <row r="795" spans="1:44" ht="15.75" x14ac:dyDescent="0.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row>
    <row r="796" spans="1:44" ht="15.75" x14ac:dyDescent="0.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row>
    <row r="797" spans="1:44" ht="15.75" x14ac:dyDescent="0.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row>
    <row r="798" spans="1:44" ht="15.75" x14ac:dyDescent="0.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row>
    <row r="799" spans="1:44" ht="15.75" x14ac:dyDescent="0.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row>
    <row r="800" spans="1:44" ht="15.75" x14ac:dyDescent="0.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row>
    <row r="801" spans="1:44" ht="15.75" x14ac:dyDescent="0.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row>
    <row r="802" spans="1:44" ht="15.75" x14ac:dyDescent="0.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row>
    <row r="803" spans="1:44" ht="15.75" x14ac:dyDescent="0.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row>
    <row r="804" spans="1:44" ht="15.75" x14ac:dyDescent="0.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row>
    <row r="805" spans="1:44" ht="15.75" x14ac:dyDescent="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row>
    <row r="806" spans="1:44" ht="15.75" x14ac:dyDescent="0.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row>
    <row r="807" spans="1:44" ht="15.75" x14ac:dyDescent="0.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row>
    <row r="808" spans="1:44" ht="15.75" x14ac:dyDescent="0.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row>
    <row r="809" spans="1:44" ht="15.75" x14ac:dyDescent="0.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row>
    <row r="810" spans="1:44" ht="15.75" x14ac:dyDescent="0.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row>
    <row r="811" spans="1:44" ht="15.75" x14ac:dyDescent="0.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row>
    <row r="812" spans="1:44" ht="15.75" x14ac:dyDescent="0.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row>
    <row r="813" spans="1:44" ht="15.75" x14ac:dyDescent="0.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row>
    <row r="814" spans="1:44" ht="15.75" x14ac:dyDescent="0.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row>
    <row r="815" spans="1:44" ht="15.75" x14ac:dyDescent="0.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row>
    <row r="816" spans="1:44" ht="15.75" x14ac:dyDescent="0.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row>
    <row r="817" spans="1:44" ht="15.75" x14ac:dyDescent="0.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row>
    <row r="818" spans="1:44" ht="15.75" x14ac:dyDescent="0.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row>
    <row r="819" spans="1:44" ht="15.75" x14ac:dyDescent="0.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row>
    <row r="820" spans="1:44" ht="15.75" x14ac:dyDescent="0.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row>
    <row r="821" spans="1:44" ht="15.75" x14ac:dyDescent="0.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row>
    <row r="822" spans="1:44" ht="15.75" x14ac:dyDescent="0.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row>
    <row r="823" spans="1:44" ht="15.75" x14ac:dyDescent="0.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row>
    <row r="824" spans="1:44" ht="15.75" x14ac:dyDescent="0.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row>
    <row r="825" spans="1:44" ht="15.75" x14ac:dyDescent="0.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row>
    <row r="826" spans="1:44" ht="15.75" x14ac:dyDescent="0.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row>
    <row r="827" spans="1:44" ht="15.75" x14ac:dyDescent="0.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row>
    <row r="828" spans="1:44" ht="15.75" x14ac:dyDescent="0.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row>
    <row r="829" spans="1:44" ht="15.75" x14ac:dyDescent="0.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row>
    <row r="830" spans="1:44" ht="15.75" x14ac:dyDescent="0.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row>
    <row r="831" spans="1:44" ht="15.75" x14ac:dyDescent="0.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row>
    <row r="832" spans="1:44" ht="15.75" x14ac:dyDescent="0.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row>
    <row r="833" spans="1:44" ht="15.75" x14ac:dyDescent="0.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row>
    <row r="834" spans="1:44" ht="15.75" x14ac:dyDescent="0.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row>
    <row r="835" spans="1:44" ht="15.75" x14ac:dyDescent="0.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row>
    <row r="836" spans="1:44" ht="15.75" x14ac:dyDescent="0.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row>
    <row r="837" spans="1:44" ht="15.75" x14ac:dyDescent="0.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row>
    <row r="838" spans="1:44" ht="15.75" x14ac:dyDescent="0.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row>
    <row r="839" spans="1:44" ht="15.75" x14ac:dyDescent="0.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row>
    <row r="840" spans="1:44" ht="15.75" x14ac:dyDescent="0.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row>
    <row r="841" spans="1:44" ht="15.75" x14ac:dyDescent="0.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row>
    <row r="842" spans="1:44" ht="15.75" x14ac:dyDescent="0.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row>
    <row r="843" spans="1:44" ht="15.75" x14ac:dyDescent="0.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row>
    <row r="844" spans="1:44" ht="15.75" x14ac:dyDescent="0.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row>
    <row r="845" spans="1:44" ht="15.75" x14ac:dyDescent="0.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row>
    <row r="846" spans="1:44" ht="15.75" x14ac:dyDescent="0.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row>
    <row r="847" spans="1:44" ht="15.75" x14ac:dyDescent="0.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row>
    <row r="848" spans="1:44" ht="15.75" x14ac:dyDescent="0.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row>
    <row r="849" spans="1:44" ht="15.75" x14ac:dyDescent="0.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row>
    <row r="850" spans="1:44" ht="15.75" x14ac:dyDescent="0.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row>
    <row r="851" spans="1:44" ht="15.75" x14ac:dyDescent="0.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row>
    <row r="852" spans="1:44" ht="15.75" x14ac:dyDescent="0.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row>
    <row r="853" spans="1:44" ht="15.75" x14ac:dyDescent="0.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row>
    <row r="854" spans="1:44" ht="15.75" x14ac:dyDescent="0.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row>
    <row r="855" spans="1:44" ht="15.75" x14ac:dyDescent="0.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row>
    <row r="856" spans="1:44" ht="15.75" x14ac:dyDescent="0.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row>
    <row r="857" spans="1:44" ht="15.75" x14ac:dyDescent="0.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row>
    <row r="858" spans="1:44" ht="15.75" x14ac:dyDescent="0.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row>
    <row r="859" spans="1:44" ht="15.75" x14ac:dyDescent="0.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row>
    <row r="860" spans="1:44" ht="15.75" x14ac:dyDescent="0.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row>
    <row r="861" spans="1:44" ht="15.75" x14ac:dyDescent="0.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row>
    <row r="862" spans="1:44" ht="15.75" x14ac:dyDescent="0.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row>
    <row r="863" spans="1:44" ht="15.75" x14ac:dyDescent="0.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row>
    <row r="864" spans="1:44" ht="15.75" x14ac:dyDescent="0.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row>
    <row r="865" spans="1:44" ht="15.75" x14ac:dyDescent="0.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row>
    <row r="866" spans="1:44" ht="15.75" x14ac:dyDescent="0.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row>
    <row r="867" spans="1:44" ht="15.75" x14ac:dyDescent="0.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row>
    <row r="868" spans="1:44" ht="15.75" x14ac:dyDescent="0.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row>
    <row r="869" spans="1:44" ht="15.75" x14ac:dyDescent="0.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row>
    <row r="870" spans="1:44" ht="15.75" x14ac:dyDescent="0.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row>
    <row r="871" spans="1:44" ht="15.75" x14ac:dyDescent="0.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row>
    <row r="872" spans="1:44" ht="15.75" x14ac:dyDescent="0.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row>
    <row r="873" spans="1:44" ht="15.75" x14ac:dyDescent="0.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row>
    <row r="874" spans="1:44" ht="15.75" x14ac:dyDescent="0.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row>
    <row r="875" spans="1:44" ht="15.75" x14ac:dyDescent="0.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row>
    <row r="876" spans="1:44" ht="15.75" x14ac:dyDescent="0.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row>
    <row r="877" spans="1:44" ht="15.75" x14ac:dyDescent="0.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row>
    <row r="878" spans="1:44" ht="15.75" x14ac:dyDescent="0.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row>
    <row r="879" spans="1:44" ht="15.75" x14ac:dyDescent="0.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row>
    <row r="880" spans="1:44" ht="15.75" x14ac:dyDescent="0.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row>
    <row r="881" spans="1:44" ht="15.75" x14ac:dyDescent="0.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row>
    <row r="882" spans="1:44" ht="15.75" x14ac:dyDescent="0.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row>
    <row r="883" spans="1:44" ht="15.75" x14ac:dyDescent="0.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row>
    <row r="884" spans="1:44" ht="15.75" x14ac:dyDescent="0.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row>
    <row r="885" spans="1:44" ht="15.75" x14ac:dyDescent="0.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row>
    <row r="886" spans="1:44" ht="15.75" x14ac:dyDescent="0.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row>
    <row r="887" spans="1:44" ht="15.75" x14ac:dyDescent="0.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row>
    <row r="888" spans="1:44" ht="15.75" x14ac:dyDescent="0.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row>
    <row r="889" spans="1:44" ht="15.75" x14ac:dyDescent="0.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row>
    <row r="890" spans="1:44" ht="15.75" x14ac:dyDescent="0.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row>
    <row r="891" spans="1:44" ht="15.75" x14ac:dyDescent="0.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row>
    <row r="892" spans="1:44" ht="15.75" x14ac:dyDescent="0.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row>
    <row r="893" spans="1:44" ht="15.75" x14ac:dyDescent="0.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row>
    <row r="894" spans="1:44" ht="15.75" x14ac:dyDescent="0.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row>
    <row r="895" spans="1:44" ht="15.75" x14ac:dyDescent="0.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row>
    <row r="896" spans="1:44" ht="15.75" x14ac:dyDescent="0.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row>
    <row r="897" spans="1:44" ht="15.75" x14ac:dyDescent="0.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row>
    <row r="898" spans="1:44" ht="15.75" x14ac:dyDescent="0.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row>
    <row r="899" spans="1:44" ht="15.75" x14ac:dyDescent="0.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row>
    <row r="900" spans="1:44" ht="15.75" x14ac:dyDescent="0.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row>
    <row r="901" spans="1:44" ht="15.75" x14ac:dyDescent="0.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row>
    <row r="902" spans="1:44" ht="15.75" x14ac:dyDescent="0.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row>
    <row r="903" spans="1:44" ht="15.75" x14ac:dyDescent="0.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row>
    <row r="904" spans="1:44" ht="15.75" x14ac:dyDescent="0.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row>
    <row r="905" spans="1:44" ht="15.75" x14ac:dyDescent="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row>
    <row r="906" spans="1:44" ht="15.75" x14ac:dyDescent="0.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row>
    <row r="907" spans="1:44" ht="15.75" x14ac:dyDescent="0.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row>
    <row r="908" spans="1:44" ht="15.75" x14ac:dyDescent="0.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row>
    <row r="909" spans="1:44" ht="15.75" x14ac:dyDescent="0.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row>
    <row r="910" spans="1:44" ht="15.75" x14ac:dyDescent="0.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row>
    <row r="911" spans="1:44" ht="15.75" x14ac:dyDescent="0.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row>
    <row r="912" spans="1:44" ht="15.75" x14ac:dyDescent="0.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row>
    <row r="913" spans="1:44" ht="15.75" x14ac:dyDescent="0.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row>
    <row r="914" spans="1:44" ht="15.75" x14ac:dyDescent="0.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row>
    <row r="915" spans="1:44" ht="15.75" x14ac:dyDescent="0.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row>
    <row r="916" spans="1:44" ht="15.75" x14ac:dyDescent="0.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row>
    <row r="917" spans="1:44" ht="15.75" x14ac:dyDescent="0.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row>
    <row r="918" spans="1:44" ht="15.75" x14ac:dyDescent="0.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row>
    <row r="919" spans="1:44" ht="15.75" x14ac:dyDescent="0.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row>
    <row r="920" spans="1:44" ht="15.75" x14ac:dyDescent="0.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row>
    <row r="921" spans="1:44" ht="15.75" x14ac:dyDescent="0.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row>
    <row r="922" spans="1:44" ht="15.75" x14ac:dyDescent="0.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row>
    <row r="923" spans="1:44" ht="15.75" x14ac:dyDescent="0.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row>
    <row r="924" spans="1:44" ht="15.75" x14ac:dyDescent="0.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row>
    <row r="925" spans="1:44" ht="15.75" x14ac:dyDescent="0.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row>
    <row r="926" spans="1:44" ht="15.75" x14ac:dyDescent="0.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row>
    <row r="927" spans="1:44" ht="15.75" x14ac:dyDescent="0.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row>
    <row r="928" spans="1:44" ht="15.75" x14ac:dyDescent="0.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row>
    <row r="929" spans="1:44" ht="15.75" x14ac:dyDescent="0.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row>
    <row r="930" spans="1:44" ht="15.75" x14ac:dyDescent="0.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row>
    <row r="931" spans="1:44" ht="15.75" x14ac:dyDescent="0.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row>
    <row r="932" spans="1:44" ht="15.75" x14ac:dyDescent="0.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row>
    <row r="933" spans="1:44" ht="15.75" x14ac:dyDescent="0.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row>
    <row r="934" spans="1:44" ht="15.75" x14ac:dyDescent="0.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row>
    <row r="935" spans="1:44" ht="15.75" x14ac:dyDescent="0.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row>
    <row r="936" spans="1:44" ht="15.75" x14ac:dyDescent="0.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row>
    <row r="937" spans="1:44" ht="15.75" x14ac:dyDescent="0.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row>
    <row r="938" spans="1:44" ht="15.75" x14ac:dyDescent="0.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row>
    <row r="939" spans="1:44" ht="15.75" x14ac:dyDescent="0.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row>
    <row r="940" spans="1:44" ht="15.75" x14ac:dyDescent="0.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row>
    <row r="941" spans="1:44" ht="15.75" x14ac:dyDescent="0.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row>
    <row r="942" spans="1:44" ht="15.75" x14ac:dyDescent="0.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row>
    <row r="943" spans="1:44" ht="15.75" x14ac:dyDescent="0.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row>
    <row r="944" spans="1:44" ht="15.75" x14ac:dyDescent="0.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row>
    <row r="945" spans="1:44" ht="15.75" x14ac:dyDescent="0.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row>
    <row r="946" spans="1:44" ht="15.75" x14ac:dyDescent="0.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row>
    <row r="947" spans="1:44" ht="15.75" x14ac:dyDescent="0.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row>
    <row r="948" spans="1:44" ht="15.75" x14ac:dyDescent="0.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row>
    <row r="949" spans="1:44" ht="15.75" x14ac:dyDescent="0.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row>
    <row r="950" spans="1:44" ht="15.75" x14ac:dyDescent="0.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row>
    <row r="951" spans="1:44" ht="15.75" x14ac:dyDescent="0.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row>
    <row r="952" spans="1:44" ht="15.75" x14ac:dyDescent="0.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row>
    <row r="953" spans="1:44" ht="15.75" x14ac:dyDescent="0.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row>
    <row r="954" spans="1:44" ht="15.75" x14ac:dyDescent="0.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row>
    <row r="955" spans="1:44" ht="15.75" x14ac:dyDescent="0.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row>
    <row r="956" spans="1:44" ht="15.75" x14ac:dyDescent="0.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row>
    <row r="957" spans="1:44" ht="15.75" x14ac:dyDescent="0.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row>
    <row r="958" spans="1:44" ht="15.75" x14ac:dyDescent="0.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row>
    <row r="959" spans="1:44" ht="15.75" x14ac:dyDescent="0.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row>
    <row r="960" spans="1:44" ht="15.75" x14ac:dyDescent="0.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row>
    <row r="961" spans="1:44" ht="15.75" x14ac:dyDescent="0.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row>
    <row r="962" spans="1:44" ht="15.75" x14ac:dyDescent="0.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row>
    <row r="963" spans="1:44" ht="15.75" x14ac:dyDescent="0.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row>
    <row r="964" spans="1:44" ht="15.75" x14ac:dyDescent="0.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row>
    <row r="965" spans="1:44" ht="15.75" x14ac:dyDescent="0.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row>
    <row r="966" spans="1:44" ht="15.75" x14ac:dyDescent="0.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row>
    <row r="967" spans="1:44" ht="15.75" x14ac:dyDescent="0.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row>
    <row r="968" spans="1:44" ht="15.75" x14ac:dyDescent="0.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row>
    <row r="969" spans="1:44" ht="15.75" x14ac:dyDescent="0.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row>
    <row r="970" spans="1:44" ht="15.75" x14ac:dyDescent="0.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row>
    <row r="971" spans="1:44" ht="15.75" x14ac:dyDescent="0.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row>
    <row r="972" spans="1:44" ht="15.75" x14ac:dyDescent="0.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row>
    <row r="973" spans="1:44" ht="15.75" x14ac:dyDescent="0.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row>
    <row r="974" spans="1:44" ht="15.75" x14ac:dyDescent="0.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row>
    <row r="975" spans="1:44" ht="15.75" x14ac:dyDescent="0.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row>
    <row r="976" spans="1:44" ht="15.75" x14ac:dyDescent="0.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row>
    <row r="977" spans="1:44" ht="15.75" x14ac:dyDescent="0.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row>
    <row r="978" spans="1:44" ht="15.75" x14ac:dyDescent="0.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row>
    <row r="979" spans="1:44" ht="15.75" x14ac:dyDescent="0.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row>
    <row r="980" spans="1:44" ht="15.75" x14ac:dyDescent="0.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row>
    <row r="981" spans="1:44" ht="15.75" x14ac:dyDescent="0.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row>
    <row r="982" spans="1:44" ht="15.75" x14ac:dyDescent="0.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row>
    <row r="983" spans="1:44" ht="15.75" x14ac:dyDescent="0.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row>
    <row r="984" spans="1:44" ht="15.75" x14ac:dyDescent="0.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row>
    <row r="985" spans="1:44" ht="15.75" x14ac:dyDescent="0.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row>
    <row r="986" spans="1:44" ht="15.75" x14ac:dyDescent="0.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row>
    <row r="987" spans="1:44" ht="15.75" x14ac:dyDescent="0.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row>
    <row r="988" spans="1:44" ht="15.75" x14ac:dyDescent="0.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row>
    <row r="989" spans="1:44" ht="15.75" x14ac:dyDescent="0.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row>
    <row r="990" spans="1:44" ht="15.75" x14ac:dyDescent="0.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row>
    <row r="991" spans="1:44" ht="15.75" x14ac:dyDescent="0.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row>
    <row r="992" spans="1:44" ht="15.75" x14ac:dyDescent="0.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row>
    <row r="993" spans="1:44" ht="15.75" x14ac:dyDescent="0.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row>
    <row r="994" spans="1:44" ht="15.75" x14ac:dyDescent="0.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row>
    <row r="995" spans="1:44" ht="15.75" x14ac:dyDescent="0.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row>
    <row r="996" spans="1:44" ht="15.75" x14ac:dyDescent="0.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row>
    <row r="997" spans="1:44" ht="15.75" x14ac:dyDescent="0.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row>
    <row r="998" spans="1:44" ht="15.75" x14ac:dyDescent="0.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row>
    <row r="999" spans="1:44" ht="15.75" x14ac:dyDescent="0.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row>
    <row r="1000" spans="1:44" ht="15.75" x14ac:dyDescent="0.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row>
    <row r="1001" spans="1:44" ht="15.75" x14ac:dyDescent="0.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row>
    <row r="1002" spans="1:44" ht="15.75" x14ac:dyDescent="0.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row>
    <row r="1003" spans="1:44" ht="15.75" x14ac:dyDescent="0.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row>
    <row r="1004" spans="1:44" ht="15.75" x14ac:dyDescent="0.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row>
    <row r="1005" spans="1:44" ht="15.75" x14ac:dyDescent="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row>
    <row r="1006" spans="1:44" ht="15.75" x14ac:dyDescent="0.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row>
    <row r="1007" spans="1:44" ht="15.75" x14ac:dyDescent="0.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row>
    <row r="1008" spans="1:44" ht="15.75" x14ac:dyDescent="0.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row>
    <row r="1009" spans="1:44" ht="15.75" x14ac:dyDescent="0.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row>
    <row r="1010" spans="1:44" ht="15.75" x14ac:dyDescent="0.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row>
    <row r="1011" spans="1:44" ht="15.75" x14ac:dyDescent="0.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row>
    <row r="1012" spans="1:44" ht="15.75" x14ac:dyDescent="0.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row>
    <row r="1013" spans="1:44" ht="15.75" x14ac:dyDescent="0.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row>
    <row r="1014" spans="1:44" ht="15.75" x14ac:dyDescent="0.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row>
    <row r="1015" spans="1:44" ht="15.75" x14ac:dyDescent="0.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row>
    <row r="1016" spans="1:44" ht="15.75" x14ac:dyDescent="0.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row>
    <row r="1017" spans="1:44" ht="15.75" x14ac:dyDescent="0.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row>
    <row r="1018" spans="1:44" ht="15.75" x14ac:dyDescent="0.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row>
    <row r="1019" spans="1:44" ht="15.75" x14ac:dyDescent="0.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row>
    <row r="1020" spans="1:44" ht="15.75" x14ac:dyDescent="0.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row>
    <row r="1021" spans="1:44" ht="15.75" x14ac:dyDescent="0.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row>
    <row r="1022" spans="1:44" ht="15.75" x14ac:dyDescent="0.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row>
    <row r="1023" spans="1:44" ht="15.75" x14ac:dyDescent="0.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row>
    <row r="1024" spans="1:44" ht="15.75" x14ac:dyDescent="0.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row>
    <row r="1025" spans="1:44" ht="15.75" x14ac:dyDescent="0.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row>
    <row r="1026" spans="1:44" ht="15.75" x14ac:dyDescent="0.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row>
    <row r="1027" spans="1:44" ht="15.75" x14ac:dyDescent="0.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row>
    <row r="1028" spans="1:44" ht="15.75" x14ac:dyDescent="0.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row>
    <row r="1029" spans="1:44" ht="15.75" x14ac:dyDescent="0.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row>
    <row r="1030" spans="1:44" ht="15.75" x14ac:dyDescent="0.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row>
    <row r="1031" spans="1:44" ht="15.75" x14ac:dyDescent="0.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row>
    <row r="1032" spans="1:44" ht="15.75" x14ac:dyDescent="0.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row>
    <row r="1033" spans="1:44" ht="15.75" x14ac:dyDescent="0.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row>
    <row r="1034" spans="1:44" ht="15.75" x14ac:dyDescent="0.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row>
    <row r="1035" spans="1:44" ht="15.75" x14ac:dyDescent="0.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row>
    <row r="1036" spans="1:44" ht="15.75" x14ac:dyDescent="0.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row>
    <row r="1037" spans="1:44" ht="15.75" x14ac:dyDescent="0.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row>
    <row r="1038" spans="1:44" ht="15.75" x14ac:dyDescent="0.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row>
    <row r="1039" spans="1:44" ht="15.75" x14ac:dyDescent="0.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row>
    <row r="1040" spans="1:44" ht="15.75" x14ac:dyDescent="0.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row>
    <row r="1041" spans="1:44" ht="15.75" x14ac:dyDescent="0.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row>
    <row r="1042" spans="1:44" ht="15.75" x14ac:dyDescent="0.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row>
    <row r="1043" spans="1:44" ht="15.75" x14ac:dyDescent="0.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row>
    <row r="1044" spans="1:44" ht="15.75" x14ac:dyDescent="0.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row>
    <row r="1045" spans="1:44" ht="15.75" x14ac:dyDescent="0.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row>
    <row r="1046" spans="1:44" ht="15.75" x14ac:dyDescent="0.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row>
    <row r="1047" spans="1:44" ht="15.75" x14ac:dyDescent="0.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row>
    <row r="1048" spans="1:44" ht="15.75" x14ac:dyDescent="0.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row>
    <row r="1049" spans="1:44" ht="15.75" x14ac:dyDescent="0.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row>
    <row r="1050" spans="1:44" ht="15.75" x14ac:dyDescent="0.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row>
    <row r="1051" spans="1:44" ht="15.75" x14ac:dyDescent="0.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row>
    <row r="1052" spans="1:44" ht="15.75" x14ac:dyDescent="0.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row>
    <row r="1053" spans="1:44" ht="15.75" x14ac:dyDescent="0.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row>
    <row r="1054" spans="1:44" ht="15.75" x14ac:dyDescent="0.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row>
    <row r="1055" spans="1:44" ht="15.75" x14ac:dyDescent="0.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row>
    <row r="1056" spans="1:44" ht="15.75" x14ac:dyDescent="0.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row>
    <row r="1057" spans="1:44" ht="15.75" x14ac:dyDescent="0.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row>
    <row r="1058" spans="1:44" ht="15.75" x14ac:dyDescent="0.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row>
    <row r="1059" spans="1:44" ht="15.75" x14ac:dyDescent="0.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row>
    <row r="1060" spans="1:44" ht="15.75" x14ac:dyDescent="0.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row>
    <row r="1061" spans="1:44" ht="15.75" x14ac:dyDescent="0.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row>
    <row r="1062" spans="1:44" ht="15.75" x14ac:dyDescent="0.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row>
    <row r="1063" spans="1:44" ht="15.75" x14ac:dyDescent="0.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row>
    <row r="1064" spans="1:44" ht="15.75" x14ac:dyDescent="0.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row>
    <row r="1065" spans="1:44" ht="15.75" x14ac:dyDescent="0.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row>
    <row r="1066" spans="1:44" ht="15.75" x14ac:dyDescent="0.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row>
    <row r="1067" spans="1:44" ht="15.75" x14ac:dyDescent="0.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row>
    <row r="1068" spans="1:44" ht="15.75" x14ac:dyDescent="0.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row>
    <row r="1069" spans="1:44" ht="15.75" x14ac:dyDescent="0.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row>
    <row r="1070" spans="1:44" ht="15.75" x14ac:dyDescent="0.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row>
    <row r="1071" spans="1:44" ht="15.75" x14ac:dyDescent="0.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row>
    <row r="1072" spans="1:44" ht="15.75" x14ac:dyDescent="0.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row>
    <row r="1073" spans="1:44" ht="15.75" x14ac:dyDescent="0.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row>
    <row r="1074" spans="1:44" ht="15.75" x14ac:dyDescent="0.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row>
    <row r="1075" spans="1:44" ht="15.75" x14ac:dyDescent="0.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row>
    <row r="1076" spans="1:44" ht="15.75" x14ac:dyDescent="0.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row>
    <row r="1077" spans="1:44" ht="15.75" x14ac:dyDescent="0.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row>
    <row r="1078" spans="1:44" ht="15.75" x14ac:dyDescent="0.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row>
    <row r="1079" spans="1:44" ht="15.75" x14ac:dyDescent="0.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row>
    <row r="1080" spans="1:44" ht="15.75" x14ac:dyDescent="0.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row>
    <row r="1081" spans="1:44" ht="15.75" x14ac:dyDescent="0.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row>
    <row r="1082" spans="1:44" ht="15.75" x14ac:dyDescent="0.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row>
    <row r="1083" spans="1:44" ht="15.75" x14ac:dyDescent="0.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row>
    <row r="1084" spans="1:44" ht="15.75" x14ac:dyDescent="0.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row>
    <row r="1085" spans="1:44" ht="15.75" x14ac:dyDescent="0.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row>
    <row r="1086" spans="1:44" ht="15.75" x14ac:dyDescent="0.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row>
    <row r="1087" spans="1:44" ht="15.75" x14ac:dyDescent="0.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row>
    <row r="1088" spans="1:44" ht="15.75" x14ac:dyDescent="0.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row>
    <row r="1089" spans="1:44" ht="15.75" x14ac:dyDescent="0.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row>
    <row r="1090" spans="1:44" ht="15.75" x14ac:dyDescent="0.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row>
    <row r="1091" spans="1:44" ht="15.75" x14ac:dyDescent="0.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row>
    <row r="1092" spans="1:44" ht="15.75" x14ac:dyDescent="0.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row>
    <row r="1093" spans="1:44" ht="15.75" x14ac:dyDescent="0.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row>
    <row r="1094" spans="1:44" ht="15.75" x14ac:dyDescent="0.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row>
    <row r="1095" spans="1:44" ht="15.75" x14ac:dyDescent="0.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row>
    <row r="1096" spans="1:44" ht="15.75" x14ac:dyDescent="0.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row>
    <row r="1097" spans="1:44" ht="15.75" x14ac:dyDescent="0.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row>
    <row r="1098" spans="1:44" ht="15.75" x14ac:dyDescent="0.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row>
    <row r="1099" spans="1:44" ht="15.75" x14ac:dyDescent="0.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row>
    <row r="1100" spans="1:44" ht="15.75" x14ac:dyDescent="0.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row>
    <row r="1101" spans="1:44" ht="15.75" x14ac:dyDescent="0.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row>
    <row r="1102" spans="1:44" ht="15.75" x14ac:dyDescent="0.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row>
    <row r="1103" spans="1:44" ht="15.75" x14ac:dyDescent="0.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row>
    <row r="1104" spans="1:44" ht="15.75" x14ac:dyDescent="0.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row>
    <row r="1105" spans="1:44" ht="15.75" x14ac:dyDescent="0.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row>
    <row r="1106" spans="1:44" ht="15.75" x14ac:dyDescent="0.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row>
    <row r="1107" spans="1:44" ht="15.75" x14ac:dyDescent="0.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row>
    <row r="1108" spans="1:44" ht="15.75" x14ac:dyDescent="0.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row>
    <row r="1109" spans="1:44" ht="15.75" x14ac:dyDescent="0.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row>
    <row r="1110" spans="1:44" ht="15.75" x14ac:dyDescent="0.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row>
    <row r="1111" spans="1:44" ht="15.75" x14ac:dyDescent="0.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row>
    <row r="1112" spans="1:44" ht="15.75" x14ac:dyDescent="0.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row>
    <row r="1113" spans="1:44" ht="15.75" x14ac:dyDescent="0.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row>
    <row r="1114" spans="1:44" ht="15.75" x14ac:dyDescent="0.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row>
    <row r="1115" spans="1:44" ht="15.75" x14ac:dyDescent="0.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row>
    <row r="1116" spans="1:44" ht="15.75" x14ac:dyDescent="0.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row>
    <row r="1117" spans="1:44" ht="15.75" x14ac:dyDescent="0.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row>
    <row r="1118" spans="1:44" ht="15.75" x14ac:dyDescent="0.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row>
    <row r="1119" spans="1:44" ht="15.75" x14ac:dyDescent="0.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row>
    <row r="1120" spans="1:44" ht="15.75" x14ac:dyDescent="0.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row>
    <row r="1121" spans="1:44" ht="15.75" x14ac:dyDescent="0.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row>
    <row r="1122" spans="1:44" ht="15.75" x14ac:dyDescent="0.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row>
    <row r="1123" spans="1:44" ht="15.75" x14ac:dyDescent="0.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row>
    <row r="1124" spans="1:44" ht="15.75" x14ac:dyDescent="0.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row>
    <row r="1125" spans="1:44" ht="15.75" x14ac:dyDescent="0.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row>
    <row r="1126" spans="1:44" ht="15.75" x14ac:dyDescent="0.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row>
    <row r="1127" spans="1:44" ht="15.75" x14ac:dyDescent="0.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row>
    <row r="1128" spans="1:44" ht="15.75" x14ac:dyDescent="0.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row>
    <row r="1129" spans="1:44" ht="15.75" x14ac:dyDescent="0.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row>
    <row r="1130" spans="1:44" ht="15.75" x14ac:dyDescent="0.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row>
    <row r="1131" spans="1:44" ht="15.75" x14ac:dyDescent="0.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row>
    <row r="1132" spans="1:44" ht="15.75" x14ac:dyDescent="0.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row>
    <row r="1133" spans="1:44" ht="15.75" x14ac:dyDescent="0.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row>
    <row r="1134" spans="1:44" ht="15.75" x14ac:dyDescent="0.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row>
    <row r="1135" spans="1:44" ht="15.75" x14ac:dyDescent="0.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row>
    <row r="1136" spans="1:44" ht="15.75" x14ac:dyDescent="0.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row>
    <row r="1137" spans="1:44" ht="15.75" x14ac:dyDescent="0.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row>
    <row r="1138" spans="1:44" ht="15.75" x14ac:dyDescent="0.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row>
    <row r="1139" spans="1:44" ht="15.75" x14ac:dyDescent="0.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row>
    <row r="1140" spans="1:44" ht="15.75" x14ac:dyDescent="0.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row>
    <row r="1141" spans="1:44" ht="15.75" x14ac:dyDescent="0.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row>
    <row r="1142" spans="1:44" ht="15.75" x14ac:dyDescent="0.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row>
    <row r="1143" spans="1:44" ht="15.75" x14ac:dyDescent="0.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row>
    <row r="1144" spans="1:44" ht="15.75" x14ac:dyDescent="0.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row>
    <row r="1145" spans="1:44" ht="15.75" x14ac:dyDescent="0.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row>
    <row r="1146" spans="1:44" ht="15.75" x14ac:dyDescent="0.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row>
    <row r="1147" spans="1:44" ht="15.75" x14ac:dyDescent="0.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row>
    <row r="1148" spans="1:44" ht="15.75" x14ac:dyDescent="0.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row>
    <row r="1149" spans="1:44" ht="15.75" x14ac:dyDescent="0.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row>
    <row r="1150" spans="1:44" ht="15.75" x14ac:dyDescent="0.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row>
    <row r="1151" spans="1:44" ht="15.75" x14ac:dyDescent="0.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row>
    <row r="1152" spans="1:44" ht="15.75" x14ac:dyDescent="0.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row>
    <row r="1153" spans="1:44" ht="15.75" x14ac:dyDescent="0.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row>
    <row r="1154" spans="1:44" ht="15.75" x14ac:dyDescent="0.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row>
    <row r="1155" spans="1:44" ht="15.75" x14ac:dyDescent="0.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row>
    <row r="1156" spans="1:44" ht="15.75" x14ac:dyDescent="0.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row>
    <row r="1157" spans="1:44" ht="15.75" x14ac:dyDescent="0.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row>
    <row r="1158" spans="1:44" ht="15.75" x14ac:dyDescent="0.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row>
    <row r="1159" spans="1:44" ht="15.75" x14ac:dyDescent="0.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row>
    <row r="1160" spans="1:44" ht="15.75" x14ac:dyDescent="0.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row>
    <row r="1161" spans="1:44" ht="15.75" x14ac:dyDescent="0.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row>
    <row r="1162" spans="1:44" ht="15.75" x14ac:dyDescent="0.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row>
    <row r="1163" spans="1:44" ht="15.75" x14ac:dyDescent="0.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row>
    <row r="1164" spans="1:44" ht="15.75" x14ac:dyDescent="0.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row>
    <row r="1165" spans="1:44" ht="15.75" x14ac:dyDescent="0.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row>
    <row r="1166" spans="1:44" ht="15.75" x14ac:dyDescent="0.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row>
    <row r="1167" spans="1:44" ht="15.75" x14ac:dyDescent="0.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row>
    <row r="1168" spans="1:44" ht="15.75" x14ac:dyDescent="0.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row>
    <row r="1169" spans="1:44" ht="15.75" x14ac:dyDescent="0.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row>
    <row r="1170" spans="1:44" ht="15.75" x14ac:dyDescent="0.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row>
    <row r="1171" spans="1:44" ht="15.75" x14ac:dyDescent="0.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row>
    <row r="1172" spans="1:44" ht="15.75" x14ac:dyDescent="0.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row>
    <row r="1173" spans="1:44" ht="15.75" x14ac:dyDescent="0.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row>
    <row r="1174" spans="1:44" ht="15.75" x14ac:dyDescent="0.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row>
    <row r="1175" spans="1:44" ht="15.75" x14ac:dyDescent="0.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row>
    <row r="1176" spans="1:44" ht="15.75" x14ac:dyDescent="0.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row>
    <row r="1177" spans="1:44" ht="15.75" x14ac:dyDescent="0.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row>
    <row r="1178" spans="1:44" ht="15.75" x14ac:dyDescent="0.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row>
    <row r="1179" spans="1:44" ht="15.75" x14ac:dyDescent="0.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row>
    <row r="1180" spans="1:44" ht="15.75" x14ac:dyDescent="0.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row>
    <row r="1181" spans="1:44" ht="15.75" x14ac:dyDescent="0.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row>
    <row r="1182" spans="1:44" ht="15.75" x14ac:dyDescent="0.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row>
    <row r="1183" spans="1:44" ht="15.75" x14ac:dyDescent="0.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row>
    <row r="1184" spans="1:44" ht="15.75" x14ac:dyDescent="0.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row>
    <row r="1185" spans="1:44" ht="15.75" x14ac:dyDescent="0.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row>
    <row r="1186" spans="1:44" ht="15.75" x14ac:dyDescent="0.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row>
    <row r="1187" spans="1:44" ht="15.75" x14ac:dyDescent="0.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row>
    <row r="1188" spans="1:44" ht="15.75" x14ac:dyDescent="0.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row>
    <row r="1189" spans="1:44" ht="15.75" x14ac:dyDescent="0.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row>
    <row r="1190" spans="1:44" ht="15.75" x14ac:dyDescent="0.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row>
    <row r="1191" spans="1:44" ht="15.75" x14ac:dyDescent="0.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row>
    <row r="1192" spans="1:44" ht="15.75" x14ac:dyDescent="0.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row>
    <row r="1193" spans="1:44" ht="15.75" x14ac:dyDescent="0.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row>
    <row r="1194" spans="1:44" ht="15.75" x14ac:dyDescent="0.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row>
    <row r="1195" spans="1:44" ht="15.75" x14ac:dyDescent="0.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row>
    <row r="1196" spans="1:44" ht="15.75" x14ac:dyDescent="0.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row>
    <row r="1197" spans="1:44" ht="15.75" x14ac:dyDescent="0.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row>
    <row r="1198" spans="1:44" ht="15.75" x14ac:dyDescent="0.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row>
    <row r="1199" spans="1:44" ht="15.75" x14ac:dyDescent="0.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row>
    <row r="1200" spans="1:44" ht="15.75" x14ac:dyDescent="0.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row>
    <row r="1201" spans="1:44" ht="15.75" x14ac:dyDescent="0.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row>
    <row r="1202" spans="1:44" ht="15.75" x14ac:dyDescent="0.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row>
    <row r="1203" spans="1:44" ht="15.75" x14ac:dyDescent="0.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row>
    <row r="1204" spans="1:44" ht="15.75" x14ac:dyDescent="0.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row>
    <row r="1205" spans="1:44" ht="15.75" x14ac:dyDescent="0.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row>
    <row r="1206" spans="1:44" ht="15.75" x14ac:dyDescent="0.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row>
    <row r="1207" spans="1:44" ht="15.75" x14ac:dyDescent="0.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row>
    <row r="1208" spans="1:44" ht="15.75" x14ac:dyDescent="0.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row>
    <row r="1209" spans="1:44" ht="15.75" x14ac:dyDescent="0.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row>
    <row r="1210" spans="1:44" ht="15.75" x14ac:dyDescent="0.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row>
    <row r="1211" spans="1:44" ht="15.75" x14ac:dyDescent="0.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row>
    <row r="1212" spans="1:44" ht="15.75" x14ac:dyDescent="0.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row>
    <row r="1213" spans="1:44" ht="15.75" x14ac:dyDescent="0.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row>
    <row r="1214" spans="1:44" ht="15.75" x14ac:dyDescent="0.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row>
    <row r="1215" spans="1:44" ht="15.75" x14ac:dyDescent="0.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row>
    <row r="1216" spans="1:44" ht="15.75" x14ac:dyDescent="0.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row>
    <row r="1217" spans="1:44" ht="15.75" x14ac:dyDescent="0.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row>
    <row r="1218" spans="1:44" ht="15.75" x14ac:dyDescent="0.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row>
    <row r="1219" spans="1:44" ht="15.75" x14ac:dyDescent="0.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row>
    <row r="1220" spans="1:44" ht="15.75" x14ac:dyDescent="0.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row>
    <row r="1221" spans="1:44" ht="15.75" x14ac:dyDescent="0.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row>
    <row r="1222" spans="1:44" ht="15.75" x14ac:dyDescent="0.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row>
    <row r="1223" spans="1:44" ht="15.75" x14ac:dyDescent="0.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row>
    <row r="1224" spans="1:44" ht="15.75" x14ac:dyDescent="0.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row>
    <row r="1225" spans="1:44" ht="15.75" x14ac:dyDescent="0.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row>
    <row r="1226" spans="1:44" ht="15.75" x14ac:dyDescent="0.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row>
    <row r="1227" spans="1:44" ht="15.75" x14ac:dyDescent="0.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row>
    <row r="1228" spans="1:44" ht="15.75" x14ac:dyDescent="0.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row>
    <row r="1229" spans="1:44" ht="15.75" x14ac:dyDescent="0.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row>
    <row r="1230" spans="1:44" ht="15.75" x14ac:dyDescent="0.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row>
    <row r="1231" spans="1:44" ht="15.75" x14ac:dyDescent="0.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row>
    <row r="1232" spans="1:44" ht="15.75" x14ac:dyDescent="0.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row>
    <row r="1233" spans="1:44" ht="15.75" x14ac:dyDescent="0.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row>
    <row r="1234" spans="1:44" ht="15.75" x14ac:dyDescent="0.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row>
    <row r="1235" spans="1:44" ht="15.75" x14ac:dyDescent="0.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row>
    <row r="1236" spans="1:44" ht="15.75" x14ac:dyDescent="0.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row>
    <row r="1237" spans="1:44" ht="15.75" x14ac:dyDescent="0.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row>
    <row r="1238" spans="1:44" ht="15.75" x14ac:dyDescent="0.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row>
    <row r="1239" spans="1:44" ht="15.75" x14ac:dyDescent="0.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row>
    <row r="1240" spans="1:44" ht="15.75" x14ac:dyDescent="0.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row>
    <row r="1241" spans="1:44" ht="15.75" x14ac:dyDescent="0.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row>
    <row r="1242" spans="1:44" ht="15.75" x14ac:dyDescent="0.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row>
    <row r="1243" spans="1:44" ht="15.75" x14ac:dyDescent="0.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row>
    <row r="1244" spans="1:44" ht="15.75" x14ac:dyDescent="0.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row>
    <row r="1245" spans="1:44" ht="15.75" x14ac:dyDescent="0.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row>
    <row r="1246" spans="1:44" ht="15.75" x14ac:dyDescent="0.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row>
    <row r="1247" spans="1:44" ht="15.75" x14ac:dyDescent="0.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row>
    <row r="1248" spans="1:44" ht="15.75" x14ac:dyDescent="0.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row>
    <row r="1249" spans="1:44" ht="15.75" x14ac:dyDescent="0.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row>
    <row r="1250" spans="1:44" ht="15.75" x14ac:dyDescent="0.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row>
    <row r="1251" spans="1:44" ht="15.75" x14ac:dyDescent="0.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row>
    <row r="1252" spans="1:44" ht="15.75" x14ac:dyDescent="0.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row>
    <row r="1253" spans="1:44" ht="15.75" x14ac:dyDescent="0.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row>
    <row r="1254" spans="1:44" ht="15.75" x14ac:dyDescent="0.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row>
    <row r="1255" spans="1:44" ht="15.75" x14ac:dyDescent="0.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row>
    <row r="1256" spans="1:44" ht="15.75" x14ac:dyDescent="0.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row>
    <row r="1257" spans="1:44" ht="15.75" x14ac:dyDescent="0.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row>
    <row r="1258" spans="1:44" ht="15.75" x14ac:dyDescent="0.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row>
    <row r="1259" spans="1:44" ht="15.75" x14ac:dyDescent="0.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row>
    <row r="1260" spans="1:44" ht="15.75" x14ac:dyDescent="0.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row>
    <row r="1261" spans="1:44" ht="15.75" x14ac:dyDescent="0.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row>
    <row r="1262" spans="1:44" ht="15.75" x14ac:dyDescent="0.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row>
    <row r="1263" spans="1:44" ht="15.75" x14ac:dyDescent="0.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row>
    <row r="1264" spans="1:44" ht="15.75" x14ac:dyDescent="0.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row>
    <row r="1265" spans="1:44" ht="15.75" x14ac:dyDescent="0.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row>
    <row r="1266" spans="1:44" ht="15.75" x14ac:dyDescent="0.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row>
    <row r="1267" spans="1:44" ht="15.75" x14ac:dyDescent="0.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row>
    <row r="1268" spans="1:44" ht="15.75" x14ac:dyDescent="0.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row>
    <row r="1269" spans="1:44" ht="15.75" x14ac:dyDescent="0.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row>
    <row r="1270" spans="1:44" ht="15.75" x14ac:dyDescent="0.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row>
    <row r="1271" spans="1:44" ht="15.75" x14ac:dyDescent="0.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row>
    <row r="1272" spans="1:44" ht="15.75" x14ac:dyDescent="0.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row>
    <row r="1273" spans="1:44" ht="15.75" x14ac:dyDescent="0.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row>
    <row r="1274" spans="1:44" ht="15.75" x14ac:dyDescent="0.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row>
    <row r="1275" spans="1:44" ht="15.75" x14ac:dyDescent="0.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row>
    <row r="1276" spans="1:44" ht="15.75" x14ac:dyDescent="0.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row>
    <row r="1277" spans="1:44" ht="15.75" x14ac:dyDescent="0.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row>
    <row r="1278" spans="1:44" ht="15.75" x14ac:dyDescent="0.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row>
    <row r="1279" spans="1:44" ht="15.75" x14ac:dyDescent="0.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row>
    <row r="1280" spans="1:44" ht="15.75" x14ac:dyDescent="0.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row>
    <row r="1281" spans="1:44" ht="15.75" x14ac:dyDescent="0.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row>
    <row r="1282" spans="1:44" ht="15.75" x14ac:dyDescent="0.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row>
    <row r="1283" spans="1:44" ht="15.75" x14ac:dyDescent="0.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row>
    <row r="1284" spans="1:44" ht="15.75" x14ac:dyDescent="0.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row>
    <row r="1285" spans="1:44" ht="15.75" x14ac:dyDescent="0.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row>
    <row r="1286" spans="1:44" ht="15.75" x14ac:dyDescent="0.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row>
    <row r="1287" spans="1:44" ht="15.75" x14ac:dyDescent="0.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row>
    <row r="1288" spans="1:44" ht="15.75" x14ac:dyDescent="0.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row>
    <row r="1289" spans="1:44" ht="15.75" x14ac:dyDescent="0.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row>
    <row r="1290" spans="1:44" ht="15.75" x14ac:dyDescent="0.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row>
    <row r="1291" spans="1:44" ht="15.75" x14ac:dyDescent="0.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row>
    <row r="1292" spans="1:44" ht="15.75" x14ac:dyDescent="0.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row>
    <row r="1293" spans="1:44" ht="15.75" x14ac:dyDescent="0.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row>
    <row r="1294" spans="1:44" ht="15.75" x14ac:dyDescent="0.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row>
    <row r="1295" spans="1:44" ht="15.75" x14ac:dyDescent="0.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row>
    <row r="1296" spans="1:44" ht="15.75" x14ac:dyDescent="0.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row>
    <row r="1297" spans="1:44" ht="15.75" x14ac:dyDescent="0.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row>
    <row r="1298" spans="1:44" ht="15.75" x14ac:dyDescent="0.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row>
    <row r="1299" spans="1:44" ht="15.75" x14ac:dyDescent="0.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row>
    <row r="1300" spans="1:44" ht="15.75" x14ac:dyDescent="0.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row>
    <row r="1301" spans="1:44" ht="15.75" x14ac:dyDescent="0.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row>
    <row r="1302" spans="1:44" ht="15.75" x14ac:dyDescent="0.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row>
    <row r="1303" spans="1:44" ht="15.75" x14ac:dyDescent="0.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row>
    <row r="1304" spans="1:44" ht="15.75" x14ac:dyDescent="0.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row>
    <row r="1305" spans="1:44" ht="15.75" x14ac:dyDescent="0.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row>
    <row r="1306" spans="1:44" ht="15.75" x14ac:dyDescent="0.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row>
    <row r="1307" spans="1:44" ht="15.75" x14ac:dyDescent="0.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row>
    <row r="1308" spans="1:44" ht="15.75" x14ac:dyDescent="0.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row>
    <row r="1309" spans="1:44" ht="15.75" x14ac:dyDescent="0.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row>
    <row r="1310" spans="1:44" ht="15.75" x14ac:dyDescent="0.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row>
    <row r="1311" spans="1:44" ht="15.75" x14ac:dyDescent="0.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row>
    <row r="1312" spans="1:44" ht="15.75" x14ac:dyDescent="0.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row>
    <row r="1313" spans="1:44" ht="15.75" x14ac:dyDescent="0.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row>
    <row r="1314" spans="1:44" ht="15.75" x14ac:dyDescent="0.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row>
    <row r="1315" spans="1:44" ht="15.75" x14ac:dyDescent="0.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row>
    <row r="1316" spans="1:44" ht="15.75" x14ac:dyDescent="0.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row>
    <row r="1317" spans="1:44" ht="15.75" x14ac:dyDescent="0.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row>
    <row r="1318" spans="1:44" ht="15.75" x14ac:dyDescent="0.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row>
    <row r="1319" spans="1:44" ht="15.75" x14ac:dyDescent="0.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row>
    <row r="1320" spans="1:44" ht="15.75" x14ac:dyDescent="0.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row>
    <row r="1321" spans="1:44" ht="15.75" x14ac:dyDescent="0.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row>
    <row r="1322" spans="1:44" ht="15.75" x14ac:dyDescent="0.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row>
    <row r="1323" spans="1:44" ht="15.75" x14ac:dyDescent="0.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row>
    <row r="1324" spans="1:44" ht="15.75" x14ac:dyDescent="0.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row>
    <row r="1325" spans="1:44" ht="15.75" x14ac:dyDescent="0.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row>
    <row r="1326" spans="1:44" ht="15.75" x14ac:dyDescent="0.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row>
    <row r="1327" spans="1:44" ht="15.75" x14ac:dyDescent="0.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row>
    <row r="1328" spans="1:44" ht="15.75" x14ac:dyDescent="0.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row>
    <row r="1329" spans="1:44" ht="15.75" x14ac:dyDescent="0.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row>
    <row r="1330" spans="1:44" ht="15.75" x14ac:dyDescent="0.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row>
    <row r="1331" spans="1:44" ht="15.75" x14ac:dyDescent="0.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row>
    <row r="1332" spans="1:44" ht="15.75" x14ac:dyDescent="0.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row>
    <row r="1333" spans="1:44" ht="15.75" x14ac:dyDescent="0.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row>
    <row r="1334" spans="1:44" ht="15.75" x14ac:dyDescent="0.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row>
    <row r="1335" spans="1:44" ht="15.75" x14ac:dyDescent="0.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row>
    <row r="1336" spans="1:44" ht="15.75" x14ac:dyDescent="0.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row>
    <row r="1337" spans="1:44" ht="15.75" x14ac:dyDescent="0.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row>
    <row r="1338" spans="1:44" ht="15.75" x14ac:dyDescent="0.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row>
    <row r="1339" spans="1:44" ht="15.75" x14ac:dyDescent="0.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row>
    <row r="1340" spans="1:44" ht="15.75" x14ac:dyDescent="0.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row>
    <row r="1341" spans="1:44" ht="15.75" x14ac:dyDescent="0.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row>
    <row r="1342" spans="1:44" ht="15.75" x14ac:dyDescent="0.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row>
    <row r="1343" spans="1:44" ht="15.75" x14ac:dyDescent="0.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row>
    <row r="1344" spans="1:44" ht="15.75" x14ac:dyDescent="0.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row>
    <row r="1345" spans="1:44" ht="15.75" x14ac:dyDescent="0.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row>
    <row r="1346" spans="1:44" ht="15.75" x14ac:dyDescent="0.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row>
    <row r="1347" spans="1:44" ht="15.75" x14ac:dyDescent="0.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row>
    <row r="1348" spans="1:44" ht="15.75" x14ac:dyDescent="0.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row>
    <row r="1349" spans="1:44" ht="15.75" x14ac:dyDescent="0.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row>
    <row r="1350" spans="1:44" ht="15.75" x14ac:dyDescent="0.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row>
    <row r="1351" spans="1:44" ht="15.75" x14ac:dyDescent="0.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row>
    <row r="1352" spans="1:44" ht="15.75" x14ac:dyDescent="0.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row>
    <row r="1353" spans="1:44" ht="15.75" x14ac:dyDescent="0.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row>
    <row r="1354" spans="1:44" ht="15.75" x14ac:dyDescent="0.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row>
    <row r="1355" spans="1:44" ht="15.75" x14ac:dyDescent="0.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row>
    <row r="1356" spans="1:44" ht="15.75" x14ac:dyDescent="0.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row>
    <row r="1357" spans="1:44" ht="15.75" x14ac:dyDescent="0.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row>
    <row r="1358" spans="1:44" ht="15.75" x14ac:dyDescent="0.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row>
    <row r="1359" spans="1:44" ht="15.75" x14ac:dyDescent="0.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row>
    <row r="1360" spans="1:44" ht="15.75" x14ac:dyDescent="0.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row>
    <row r="1361" spans="1:44" ht="15.75" x14ac:dyDescent="0.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row>
    <row r="1362" spans="1:44" ht="15.75" x14ac:dyDescent="0.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row>
    <row r="1363" spans="1:44" ht="15.75" x14ac:dyDescent="0.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row>
    <row r="1364" spans="1:44" ht="15.75" x14ac:dyDescent="0.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row>
    <row r="1365" spans="1:44" ht="15.75" x14ac:dyDescent="0.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row>
    <row r="1366" spans="1:44" ht="15.75" x14ac:dyDescent="0.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row>
    <row r="1367" spans="1:44" ht="15.75" x14ac:dyDescent="0.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row>
    <row r="1368" spans="1:44" ht="15.75" x14ac:dyDescent="0.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row>
    <row r="1369" spans="1:44" ht="15.75" x14ac:dyDescent="0.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row>
    <row r="1370" spans="1:44" ht="15.75" x14ac:dyDescent="0.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row>
    <row r="1371" spans="1:44" ht="15.75" x14ac:dyDescent="0.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row>
    <row r="1372" spans="1:44" ht="15.75" x14ac:dyDescent="0.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row>
    <row r="1373" spans="1:44" ht="15.75" x14ac:dyDescent="0.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row>
    <row r="1374" spans="1:44" ht="15.75" x14ac:dyDescent="0.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row>
    <row r="1375" spans="1:44" ht="15.75" x14ac:dyDescent="0.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row>
    <row r="1376" spans="1:44" ht="15.75" x14ac:dyDescent="0.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row>
    <row r="1377" spans="1:44" ht="15.75" x14ac:dyDescent="0.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row>
    <row r="1378" spans="1:44" ht="15.75" x14ac:dyDescent="0.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row>
    <row r="1379" spans="1:44" ht="15.75" x14ac:dyDescent="0.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row>
    <row r="1380" spans="1:44" ht="15.75" x14ac:dyDescent="0.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row>
    <row r="1381" spans="1:44" ht="15.75" x14ac:dyDescent="0.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row>
    <row r="1382" spans="1:44" ht="15.75" x14ac:dyDescent="0.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row>
    <row r="1383" spans="1:44" ht="15.75" x14ac:dyDescent="0.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row>
    <row r="1384" spans="1:44" ht="15.75" x14ac:dyDescent="0.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row>
    <row r="1385" spans="1:44" ht="15.75" x14ac:dyDescent="0.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row>
    <row r="1386" spans="1:44" ht="15.75" x14ac:dyDescent="0.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row>
    <row r="1387" spans="1:44" ht="15.75" x14ac:dyDescent="0.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row>
    <row r="1388" spans="1:44" ht="15.75" x14ac:dyDescent="0.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row>
    <row r="1389" spans="1:44" ht="15.75" x14ac:dyDescent="0.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row>
    <row r="1390" spans="1:44" ht="15.75" x14ac:dyDescent="0.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row>
    <row r="1391" spans="1:44" ht="15.75" x14ac:dyDescent="0.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row>
    <row r="1392" spans="1:44" ht="15.75" x14ac:dyDescent="0.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c r="AL1392" s="1"/>
      <c r="AM1392" s="1"/>
      <c r="AN1392" s="1"/>
      <c r="AO1392" s="1"/>
      <c r="AP1392" s="1"/>
      <c r="AQ1392" s="1"/>
      <c r="AR1392" s="1"/>
    </row>
    <row r="1393" spans="1:44" ht="15.75" x14ac:dyDescent="0.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c r="AL1393" s="1"/>
      <c r="AM1393" s="1"/>
      <c r="AN1393" s="1"/>
      <c r="AO1393" s="1"/>
      <c r="AP1393" s="1"/>
      <c r="AQ1393" s="1"/>
      <c r="AR1393" s="1"/>
    </row>
    <row r="1394" spans="1:44" ht="15.75" x14ac:dyDescent="0.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c r="AK1394" s="1"/>
      <c r="AL1394" s="1"/>
      <c r="AM1394" s="1"/>
      <c r="AN1394" s="1"/>
      <c r="AO1394" s="1"/>
      <c r="AP1394" s="1"/>
      <c r="AQ1394" s="1"/>
      <c r="AR1394" s="1"/>
    </row>
    <row r="1395" spans="1:44" ht="15.75" x14ac:dyDescent="0.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c r="AK1395" s="1"/>
      <c r="AL1395" s="1"/>
      <c r="AM1395" s="1"/>
      <c r="AN1395" s="1"/>
      <c r="AO1395" s="1"/>
      <c r="AP1395" s="1"/>
      <c r="AQ1395" s="1"/>
      <c r="AR1395" s="1"/>
    </row>
    <row r="1396" spans="1:44" ht="15.75" x14ac:dyDescent="0.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c r="AK1396" s="1"/>
      <c r="AL1396" s="1"/>
      <c r="AM1396" s="1"/>
      <c r="AN1396" s="1"/>
      <c r="AO1396" s="1"/>
      <c r="AP1396" s="1"/>
      <c r="AQ1396" s="1"/>
      <c r="AR1396" s="1"/>
    </row>
    <row r="1397" spans="1:44" ht="15.75" x14ac:dyDescent="0.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1"/>
      <c r="AK1397" s="1"/>
      <c r="AL1397" s="1"/>
      <c r="AM1397" s="1"/>
      <c r="AN1397" s="1"/>
      <c r="AO1397" s="1"/>
      <c r="AP1397" s="1"/>
      <c r="AQ1397" s="1"/>
      <c r="AR1397" s="1"/>
    </row>
    <row r="1398" spans="1:44" ht="15.75" x14ac:dyDescent="0.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c r="AL1398" s="1"/>
      <c r="AM1398" s="1"/>
      <c r="AN1398" s="1"/>
      <c r="AO1398" s="1"/>
      <c r="AP1398" s="1"/>
      <c r="AQ1398" s="1"/>
      <c r="AR1398" s="1"/>
    </row>
    <row r="1399" spans="1:44" ht="15.75" x14ac:dyDescent="0.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row>
    <row r="1400" spans="1:44" ht="15.75" x14ac:dyDescent="0.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row>
    <row r="1401" spans="1:44" ht="15.75" x14ac:dyDescent="0.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row>
    <row r="1402" spans="1:44" ht="15.75" x14ac:dyDescent="0.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row>
    <row r="1403" spans="1:44" ht="15.75" x14ac:dyDescent="0.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row>
    <row r="1404" spans="1:44" ht="15.75" x14ac:dyDescent="0.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row>
    <row r="1405" spans="1:44" ht="15.75" x14ac:dyDescent="0.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c r="AL1405" s="1"/>
      <c r="AM1405" s="1"/>
      <c r="AN1405" s="1"/>
      <c r="AO1405" s="1"/>
      <c r="AP1405" s="1"/>
      <c r="AQ1405" s="1"/>
      <c r="AR1405" s="1"/>
    </row>
    <row r="1406" spans="1:44" ht="15.75" x14ac:dyDescent="0.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c r="AL1406" s="1"/>
      <c r="AM1406" s="1"/>
      <c r="AN1406" s="1"/>
      <c r="AO1406" s="1"/>
      <c r="AP1406" s="1"/>
      <c r="AQ1406" s="1"/>
      <c r="AR1406" s="1"/>
    </row>
    <row r="1407" spans="1:44" ht="15.75" x14ac:dyDescent="0.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c r="AK1407" s="1"/>
      <c r="AL1407" s="1"/>
      <c r="AM1407" s="1"/>
      <c r="AN1407" s="1"/>
      <c r="AO1407" s="1"/>
      <c r="AP1407" s="1"/>
      <c r="AQ1407" s="1"/>
      <c r="AR1407" s="1"/>
    </row>
    <row r="1408" spans="1:44" ht="15.75" x14ac:dyDescent="0.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c r="AL1408" s="1"/>
      <c r="AM1408" s="1"/>
      <c r="AN1408" s="1"/>
      <c r="AO1408" s="1"/>
      <c r="AP1408" s="1"/>
      <c r="AQ1408" s="1"/>
      <c r="AR1408" s="1"/>
    </row>
    <row r="1409" spans="1:44" ht="15.75" x14ac:dyDescent="0.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c r="AL1409" s="1"/>
      <c r="AM1409" s="1"/>
      <c r="AN1409" s="1"/>
      <c r="AO1409" s="1"/>
      <c r="AP1409" s="1"/>
      <c r="AQ1409" s="1"/>
      <c r="AR1409" s="1"/>
    </row>
    <row r="1410" spans="1:44" ht="15.75" x14ac:dyDescent="0.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c r="AK1410" s="1"/>
      <c r="AL1410" s="1"/>
      <c r="AM1410" s="1"/>
      <c r="AN1410" s="1"/>
      <c r="AO1410" s="1"/>
      <c r="AP1410" s="1"/>
      <c r="AQ1410" s="1"/>
      <c r="AR1410" s="1"/>
    </row>
    <row r="1411" spans="1:44" ht="15.75" x14ac:dyDescent="0.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c r="AL1411" s="1"/>
      <c r="AM1411" s="1"/>
      <c r="AN1411" s="1"/>
      <c r="AO1411" s="1"/>
      <c r="AP1411" s="1"/>
      <c r="AQ1411" s="1"/>
      <c r="AR1411" s="1"/>
    </row>
    <row r="1412" spans="1:44" ht="15.75" x14ac:dyDescent="0.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c r="AL1412" s="1"/>
      <c r="AM1412" s="1"/>
      <c r="AN1412" s="1"/>
      <c r="AO1412" s="1"/>
      <c r="AP1412" s="1"/>
      <c r="AQ1412" s="1"/>
      <c r="AR1412" s="1"/>
    </row>
    <row r="1413" spans="1:44" ht="15.75" x14ac:dyDescent="0.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c r="AL1413" s="1"/>
      <c r="AM1413" s="1"/>
      <c r="AN1413" s="1"/>
      <c r="AO1413" s="1"/>
      <c r="AP1413" s="1"/>
      <c r="AQ1413" s="1"/>
      <c r="AR1413" s="1"/>
    </row>
    <row r="1414" spans="1:44" ht="15.75" x14ac:dyDescent="0.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c r="AL1414" s="1"/>
      <c r="AM1414" s="1"/>
      <c r="AN1414" s="1"/>
      <c r="AO1414" s="1"/>
      <c r="AP1414" s="1"/>
      <c r="AQ1414" s="1"/>
      <c r="AR1414" s="1"/>
    </row>
    <row r="1415" spans="1:44" ht="15.75" x14ac:dyDescent="0.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row>
    <row r="1416" spans="1:44" ht="15.75" x14ac:dyDescent="0.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row>
    <row r="1417" spans="1:44" ht="15.75" x14ac:dyDescent="0.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c r="AK1417" s="1"/>
      <c r="AL1417" s="1"/>
      <c r="AM1417" s="1"/>
      <c r="AN1417" s="1"/>
      <c r="AO1417" s="1"/>
      <c r="AP1417" s="1"/>
      <c r="AQ1417" s="1"/>
      <c r="AR1417" s="1"/>
    </row>
    <row r="1418" spans="1:44" ht="15.75" x14ac:dyDescent="0.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c r="AL1418" s="1"/>
      <c r="AM1418" s="1"/>
      <c r="AN1418" s="1"/>
      <c r="AO1418" s="1"/>
      <c r="AP1418" s="1"/>
      <c r="AQ1418" s="1"/>
      <c r="AR1418" s="1"/>
    </row>
    <row r="1419" spans="1:44" ht="15.75" x14ac:dyDescent="0.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c r="AL1419" s="1"/>
      <c r="AM1419" s="1"/>
      <c r="AN1419" s="1"/>
      <c r="AO1419" s="1"/>
      <c r="AP1419" s="1"/>
      <c r="AQ1419" s="1"/>
      <c r="AR1419" s="1"/>
    </row>
    <row r="1420" spans="1:44" ht="15.75" x14ac:dyDescent="0.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c r="AL1420" s="1"/>
      <c r="AM1420" s="1"/>
      <c r="AN1420" s="1"/>
      <c r="AO1420" s="1"/>
      <c r="AP1420" s="1"/>
      <c r="AQ1420" s="1"/>
      <c r="AR1420" s="1"/>
    </row>
    <row r="1421" spans="1:44" ht="15.75" x14ac:dyDescent="0.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row>
    <row r="1422" spans="1:44" ht="15.75" x14ac:dyDescent="0.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row>
    <row r="1423" spans="1:44" ht="15.75" x14ac:dyDescent="0.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row>
    <row r="1424" spans="1:44" ht="15.75" x14ac:dyDescent="0.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c r="AK1424" s="1"/>
      <c r="AL1424" s="1"/>
      <c r="AM1424" s="1"/>
      <c r="AN1424" s="1"/>
      <c r="AO1424" s="1"/>
      <c r="AP1424" s="1"/>
      <c r="AQ1424" s="1"/>
      <c r="AR1424" s="1"/>
    </row>
    <row r="1425" spans="1:44" ht="15.75" x14ac:dyDescent="0.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c r="AL1425" s="1"/>
      <c r="AM1425" s="1"/>
      <c r="AN1425" s="1"/>
      <c r="AO1425" s="1"/>
      <c r="AP1425" s="1"/>
      <c r="AQ1425" s="1"/>
      <c r="AR1425" s="1"/>
    </row>
    <row r="1426" spans="1:44" ht="15.75" x14ac:dyDescent="0.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c r="AL1426" s="1"/>
      <c r="AM1426" s="1"/>
      <c r="AN1426" s="1"/>
      <c r="AO1426" s="1"/>
      <c r="AP1426" s="1"/>
      <c r="AQ1426" s="1"/>
      <c r="AR1426" s="1"/>
    </row>
    <row r="1427" spans="1:44" ht="15.75" x14ac:dyDescent="0.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c r="AL1427" s="1"/>
      <c r="AM1427" s="1"/>
      <c r="AN1427" s="1"/>
      <c r="AO1427" s="1"/>
      <c r="AP1427" s="1"/>
      <c r="AQ1427" s="1"/>
      <c r="AR1427" s="1"/>
    </row>
    <row r="1428" spans="1:44" ht="15.75" x14ac:dyDescent="0.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row>
    <row r="1429" spans="1:44" ht="15.75" x14ac:dyDescent="0.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c r="AL1429" s="1"/>
      <c r="AM1429" s="1"/>
      <c r="AN1429" s="1"/>
      <c r="AO1429" s="1"/>
      <c r="AP1429" s="1"/>
      <c r="AQ1429" s="1"/>
      <c r="AR1429" s="1"/>
    </row>
    <row r="1430" spans="1:44" ht="15.75" x14ac:dyDescent="0.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c r="AL1430" s="1"/>
      <c r="AM1430" s="1"/>
      <c r="AN1430" s="1"/>
      <c r="AO1430" s="1"/>
      <c r="AP1430" s="1"/>
      <c r="AQ1430" s="1"/>
      <c r="AR1430" s="1"/>
    </row>
    <row r="1431" spans="1:44" ht="15.75" x14ac:dyDescent="0.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c r="AL1431" s="1"/>
      <c r="AM1431" s="1"/>
      <c r="AN1431" s="1"/>
      <c r="AO1431" s="1"/>
      <c r="AP1431" s="1"/>
      <c r="AQ1431" s="1"/>
      <c r="AR1431" s="1"/>
    </row>
    <row r="1432" spans="1:44" ht="15.75" x14ac:dyDescent="0.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row>
    <row r="1433" spans="1:44" ht="15.75" x14ac:dyDescent="0.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row>
    <row r="1434" spans="1:44" ht="15.75" x14ac:dyDescent="0.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row>
    <row r="1435" spans="1:44" ht="15.75" x14ac:dyDescent="0.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row>
    <row r="1436" spans="1:44" ht="15.75" x14ac:dyDescent="0.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row>
    <row r="1437" spans="1:44" ht="15.75" x14ac:dyDescent="0.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row>
    <row r="1438" spans="1:44" ht="15.75" x14ac:dyDescent="0.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row>
    <row r="1439" spans="1:44" ht="15.75" x14ac:dyDescent="0.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c r="AL1439" s="1"/>
      <c r="AM1439" s="1"/>
      <c r="AN1439" s="1"/>
      <c r="AO1439" s="1"/>
      <c r="AP1439" s="1"/>
      <c r="AQ1439" s="1"/>
      <c r="AR1439" s="1"/>
    </row>
    <row r="1440" spans="1:44" ht="15.75" x14ac:dyDescent="0.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c r="AL1440" s="1"/>
      <c r="AM1440" s="1"/>
      <c r="AN1440" s="1"/>
      <c r="AO1440" s="1"/>
      <c r="AP1440" s="1"/>
      <c r="AQ1440" s="1"/>
      <c r="AR1440" s="1"/>
    </row>
    <row r="1441" spans="1:44" ht="15.75" x14ac:dyDescent="0.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c r="AL1441" s="1"/>
      <c r="AM1441" s="1"/>
      <c r="AN1441" s="1"/>
      <c r="AO1441" s="1"/>
      <c r="AP1441" s="1"/>
      <c r="AQ1441" s="1"/>
      <c r="AR1441" s="1"/>
    </row>
    <row r="1442" spans="1:44" ht="15.75" x14ac:dyDescent="0.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c r="AL1442" s="1"/>
      <c r="AM1442" s="1"/>
      <c r="AN1442" s="1"/>
      <c r="AO1442" s="1"/>
      <c r="AP1442" s="1"/>
      <c r="AQ1442" s="1"/>
      <c r="AR1442" s="1"/>
    </row>
    <row r="1443" spans="1:44" ht="15.75" x14ac:dyDescent="0.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c r="AL1443" s="1"/>
      <c r="AM1443" s="1"/>
      <c r="AN1443" s="1"/>
      <c r="AO1443" s="1"/>
      <c r="AP1443" s="1"/>
      <c r="AQ1443" s="1"/>
      <c r="AR1443" s="1"/>
    </row>
    <row r="1444" spans="1:44" ht="15.75" x14ac:dyDescent="0.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row>
    <row r="1445" spans="1:44" ht="15.75" x14ac:dyDescent="0.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row>
    <row r="1446" spans="1:44" ht="15.75" x14ac:dyDescent="0.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row>
    <row r="1447" spans="1:44" ht="15.75" x14ac:dyDescent="0.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row>
    <row r="1448" spans="1:44" ht="15.75" x14ac:dyDescent="0.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row>
    <row r="1449" spans="1:44" ht="15.75" x14ac:dyDescent="0.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row>
    <row r="1450" spans="1:44" ht="15.75" x14ac:dyDescent="0.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row>
    <row r="1451" spans="1:44" ht="15.75" x14ac:dyDescent="0.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row>
    <row r="1452" spans="1:44" ht="15.75" x14ac:dyDescent="0.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row>
    <row r="1453" spans="1:44" ht="15.75" x14ac:dyDescent="0.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row>
    <row r="1454" spans="1:44" ht="15.75" x14ac:dyDescent="0.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row>
    <row r="1455" spans="1:44" ht="15.75" x14ac:dyDescent="0.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row>
    <row r="1456" spans="1:44" ht="15.75" x14ac:dyDescent="0.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row>
    <row r="1457" spans="1:44" ht="15.75" x14ac:dyDescent="0.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row>
    <row r="1458" spans="1:44" ht="15.75" x14ac:dyDescent="0.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row>
    <row r="1459" spans="1:44" ht="15.75" x14ac:dyDescent="0.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row>
    <row r="1460" spans="1:44" ht="15.75" x14ac:dyDescent="0.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row>
    <row r="1461" spans="1:44" ht="15.75" x14ac:dyDescent="0.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row>
    <row r="1462" spans="1:44" ht="15.75" x14ac:dyDescent="0.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row>
    <row r="1463" spans="1:44" ht="15.75" x14ac:dyDescent="0.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row>
    <row r="1464" spans="1:44" ht="15.75" x14ac:dyDescent="0.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row>
    <row r="1465" spans="1:44" ht="15.75" x14ac:dyDescent="0.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row>
    <row r="1466" spans="1:44" ht="15.75" x14ac:dyDescent="0.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row>
    <row r="1467" spans="1:44" ht="15.75" x14ac:dyDescent="0.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row>
    <row r="1468" spans="1:44" ht="15.75" x14ac:dyDescent="0.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row>
    <row r="1469" spans="1:44" ht="15.75" x14ac:dyDescent="0.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row>
    <row r="1470" spans="1:44" ht="15.75" x14ac:dyDescent="0.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row>
    <row r="1471" spans="1:44" ht="15.75" x14ac:dyDescent="0.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row>
  </sheetData>
  <pageMargins left="0.7" right="0.7" top="0.75" bottom="0.75" header="0" footer="0"/>
  <pageSetup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11.25" defaultRowHeight="15" customHeight="1" x14ac:dyDescent="0.5"/>
  <cols>
    <col min="1" max="26" width="8.562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G2"/>
  <sheetViews>
    <sheetView showGridLines="0" tabSelected="1" topLeftCell="A4" zoomScale="55" zoomScaleNormal="55" workbookViewId="0">
      <selection activeCell="A22" sqref="A22"/>
    </sheetView>
  </sheetViews>
  <sheetFormatPr defaultColWidth="11.25" defaultRowHeight="15" customHeight="1" x14ac:dyDescent="0.5"/>
  <cols>
    <col min="1" max="26" width="8.5625" style="5" customWidth="1"/>
    <col min="27" max="16384" width="11.25" style="5"/>
  </cols>
  <sheetData>
    <row r="2" spans="7:7" ht="15" customHeight="1" x14ac:dyDescent="0.5">
      <c r="G2" s="10"/>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ColWidth="11.25" defaultRowHeight="15" customHeight="1" x14ac:dyDescent="0.5"/>
  <cols>
    <col min="1" max="26" width="8.562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KPI</vt:lpstr>
      <vt:lpstr>Rating</vt:lpstr>
      <vt:lpstr>Gender</vt:lpstr>
      <vt:lpstr>Eduncation by Attrition</vt:lpstr>
      <vt:lpstr>Attrition by Job</vt:lpstr>
      <vt:lpstr>Dept wise Attrition</vt:lpstr>
      <vt:lpstr>Attrition by Age group</vt:lpstr>
      <vt:lpstr>Marital  Status</vt:lpstr>
      <vt:lpstr>Data</vt:lpstr>
      <vt:lpstr>Images</vt:lpstr>
      <vt:lpstr>Background 2</vt:lpstr>
      <vt:lpstr>Background 3</vt:lpstr>
      <vt:lpstr>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Devendra Vaidya</cp:lastModifiedBy>
  <dcterms:created xsi:type="dcterms:W3CDTF">2022-12-29T16:02:46Z</dcterms:created>
  <dcterms:modified xsi:type="dcterms:W3CDTF">2026-10-13T07:59:00Z</dcterms:modified>
</cp:coreProperties>
</file>